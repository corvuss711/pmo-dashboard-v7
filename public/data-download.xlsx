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-PAG\Desktop\"/>
    </mc:Choice>
  </mc:AlternateContent>
  <xr:revisionPtr revIDLastSave="0" documentId="13_ncr:1_{E7748A7F-FCED-453B-8892-04974A608207}" xr6:coauthVersionLast="47" xr6:coauthVersionMax="47" xr10:uidLastSave="{00000000-0000-0000-0000-000000000000}"/>
  <bookViews>
    <workbookView xWindow="-110" yWindow="-110" windowWidth="19420" windowHeight="11500" tabRatio="850" activeTab="7" xr2:uid="{00000000-000D-0000-FFFF-FFFF00000000}"/>
  </bookViews>
  <sheets>
    <sheet name="Parivartan- Trucks" sheetId="10" r:id="rId1"/>
    <sheet name="Parivartan - Buses" sheetId="11" r:id="rId2"/>
    <sheet name="APCD" sheetId="3" r:id="rId3"/>
    <sheet name="OCEMS" sheetId="7" r:id="rId4"/>
    <sheet name="Road Remediation " sheetId="4" r:id="rId5"/>
    <sheet name="MRS" sheetId="5" r:id="rId6"/>
    <sheet name="SCC" sheetId="6" r:id="rId7"/>
    <sheet name="ICCC" sheetId="8" r:id="rId8"/>
  </sheets>
  <calcPr calcId="181029"/>
</workbook>
</file>

<file path=xl/calcChain.xml><?xml version="1.0" encoding="utf-8"?>
<calcChain xmlns="http://schemas.openxmlformats.org/spreadsheetml/2006/main">
  <c r="L15" i="3" l="1"/>
  <c r="L16" i="3"/>
  <c r="L17" i="3"/>
  <c r="L14" i="3"/>
  <c r="N14" i="3" s="1"/>
  <c r="I15" i="3"/>
  <c r="I16" i="3"/>
  <c r="I17" i="3"/>
  <c r="I14" i="3"/>
  <c r="B18" i="3"/>
  <c r="L8" i="5"/>
  <c r="L5" i="5"/>
  <c r="L6" i="5"/>
  <c r="L7" i="5"/>
  <c r="L4" i="5"/>
  <c r="N4" i="5" s="1"/>
  <c r="I5" i="5"/>
  <c r="I6" i="5"/>
  <c r="I7" i="5"/>
  <c r="K6" i="5"/>
  <c r="K7" i="5"/>
  <c r="I4" i="5"/>
  <c r="J4" i="5" s="1"/>
  <c r="K4" i="5" s="1"/>
  <c r="D18" i="3"/>
  <c r="D8" i="5"/>
  <c r="B8" i="5"/>
  <c r="J8" i="6"/>
  <c r="J5" i="6"/>
  <c r="J6" i="6"/>
  <c r="J7" i="6"/>
  <c r="J4" i="6"/>
  <c r="D8" i="6"/>
  <c r="D8" i="4"/>
  <c r="B8" i="4"/>
  <c r="L5" i="4"/>
  <c r="N5" i="4" s="1"/>
  <c r="L6" i="4"/>
  <c r="N6" i="4" s="1"/>
  <c r="L7" i="4"/>
  <c r="N7" i="4" s="1"/>
  <c r="I5" i="4"/>
  <c r="I6" i="4"/>
  <c r="K6" i="4" s="1"/>
  <c r="I7" i="4"/>
  <c r="K7" i="4" s="1"/>
  <c r="I4" i="4"/>
  <c r="K4" i="4" s="1"/>
  <c r="I4" i="11"/>
  <c r="I8" i="11" s="1"/>
  <c r="I5" i="11"/>
  <c r="I6" i="11"/>
  <c r="I7" i="11"/>
  <c r="C8" i="11"/>
  <c r="F8" i="11"/>
  <c r="L8" i="11"/>
  <c r="C17" i="11"/>
  <c r="C17" i="10"/>
  <c r="L8" i="10"/>
  <c r="F8" i="10"/>
  <c r="C8" i="10"/>
  <c r="I7" i="10"/>
  <c r="I6" i="10"/>
  <c r="I5" i="10"/>
  <c r="I4" i="10"/>
  <c r="I8" i="10" s="1"/>
  <c r="M18" i="3"/>
  <c r="K15" i="3"/>
  <c r="K16" i="3"/>
  <c r="K17" i="3"/>
  <c r="K14" i="3"/>
  <c r="K5" i="5"/>
  <c r="K5" i="6"/>
  <c r="I5" i="6"/>
  <c r="I6" i="6"/>
  <c r="K6" i="6" s="1"/>
  <c r="I7" i="6"/>
  <c r="K7" i="6" s="1"/>
  <c r="I4" i="6"/>
  <c r="I8" i="6" s="1"/>
  <c r="J7" i="4"/>
  <c r="J6" i="4"/>
  <c r="J5" i="4"/>
  <c r="J4" i="4"/>
  <c r="J8" i="4" s="1"/>
  <c r="H18" i="5"/>
  <c r="H15" i="5"/>
  <c r="H16" i="5"/>
  <c r="H17" i="5"/>
  <c r="H14" i="5"/>
  <c r="N16" i="3"/>
  <c r="N17" i="3"/>
  <c r="M8" i="6"/>
  <c r="D4" i="8"/>
  <c r="N5" i="5"/>
  <c r="N6" i="5"/>
  <c r="N7" i="5"/>
  <c r="I18" i="5"/>
  <c r="L5" i="6"/>
  <c r="N5" i="6" s="1"/>
  <c r="L6" i="6"/>
  <c r="N6" i="6" s="1"/>
  <c r="L7" i="6"/>
  <c r="N7" i="6" s="1"/>
  <c r="L4" i="6"/>
  <c r="N4" i="6" s="1"/>
  <c r="B8" i="6"/>
  <c r="L8" i="6" s="1"/>
  <c r="C8" i="3"/>
  <c r="G8" i="6"/>
  <c r="M8" i="5"/>
  <c r="G8" i="5"/>
  <c r="M8" i="4"/>
  <c r="G8" i="4"/>
  <c r="G18" i="3"/>
  <c r="J18" i="3" l="1"/>
  <c r="L4" i="4"/>
  <c r="L8" i="4" s="1"/>
  <c r="I8" i="5"/>
  <c r="J8" i="5"/>
  <c r="K8" i="6"/>
  <c r="I8" i="4"/>
  <c r="K8" i="4" s="1"/>
  <c r="K5" i="4"/>
  <c r="I18" i="3"/>
  <c r="L18" i="3"/>
  <c r="N18" i="3" s="1"/>
  <c r="N15" i="3"/>
  <c r="K18" i="3"/>
  <c r="N8" i="6"/>
  <c r="N8" i="4"/>
  <c r="N8" i="5"/>
  <c r="K8" i="5" l="1"/>
  <c r="N4" i="4"/>
</calcChain>
</file>

<file path=xl/sharedStrings.xml><?xml version="1.0" encoding="utf-8"?>
<sst xmlns="http://schemas.openxmlformats.org/spreadsheetml/2006/main" count="241" uniqueCount="33">
  <si>
    <t xml:space="preserve">September </t>
  </si>
  <si>
    <t>Actual</t>
  </si>
  <si>
    <t>Target</t>
  </si>
  <si>
    <t xml:space="preserve">%age </t>
  </si>
  <si>
    <t xml:space="preserve">Rajasthan </t>
  </si>
  <si>
    <t xml:space="preserve">Delhi </t>
  </si>
  <si>
    <t xml:space="preserve">Uttar Pradesh </t>
  </si>
  <si>
    <t>Delhi NCR (Total)</t>
  </si>
  <si>
    <t xml:space="preserve">Aggregate </t>
  </si>
  <si>
    <t xml:space="preserve">Haryana </t>
  </si>
  <si>
    <t xml:space="preserve">Geography </t>
  </si>
  <si>
    <t xml:space="preserve">Pre-BS VI Trucks Converted </t>
  </si>
  <si>
    <t xml:space="preserve">Actual </t>
  </si>
  <si>
    <t xml:space="preserve">Trucks registered on portal </t>
  </si>
  <si>
    <t xml:space="preserve">Pre-BS VI Buses Converted </t>
  </si>
  <si>
    <t xml:space="preserve">Buses registered on portal </t>
  </si>
  <si>
    <t xml:space="preserve">Road length with end-to-end paving completed </t>
  </si>
  <si>
    <t xml:space="preserve">Number of MRS deployed for &gt;10m roads </t>
  </si>
  <si>
    <t xml:space="preserve">Route coverage achieved (%) for &gt;10m roads </t>
  </si>
  <si>
    <t xml:space="preserve">Target </t>
  </si>
  <si>
    <t xml:space="preserve">Sites compliant with identified interventions </t>
  </si>
  <si>
    <t xml:space="preserve">APCD installation completed </t>
  </si>
  <si>
    <t xml:space="preserve">Till date </t>
  </si>
  <si>
    <t xml:space="preserve">Units with applications submitted on portal </t>
  </si>
  <si>
    <t xml:space="preserve">No data </t>
  </si>
  <si>
    <t>Industries with no red alerts</t>
  </si>
  <si>
    <t xml:space="preserve">Cumulative </t>
  </si>
  <si>
    <t xml:space="preserve">Cumulative  </t>
  </si>
  <si>
    <t>NA</t>
  </si>
  <si>
    <t xml:space="preserve">August </t>
  </si>
  <si>
    <t>September (as on 7th)</t>
  </si>
  <si>
    <t xml:space="preserve">Till Date </t>
  </si>
  <si>
    <t xml:space="preserve">Number of SCCs Operationalised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</si>
</sst>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1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17" xfId="1" applyFont="1" applyBorder="1" applyAlignment="1">
      <alignment horizontal="center" vertical="center"/>
    </xf>
    <xf numFmtId="9" fontId="5" fillId="0" borderId="54" xfId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5" fillId="0" borderId="50" xfId="1" applyFont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9" fontId="5" fillId="0" borderId="59" xfId="1" applyFont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23" xfId="1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9" fontId="5" fillId="0" borderId="12" xfId="1" applyFont="1" applyBorder="1" applyAlignment="1">
      <alignment horizontal="center" vertical="center"/>
    </xf>
    <xf numFmtId="9" fontId="4" fillId="0" borderId="35" xfId="1" applyFont="1" applyBorder="1" applyAlignment="1">
      <alignment horizontal="center" vertical="center"/>
    </xf>
    <xf numFmtId="9" fontId="6" fillId="3" borderId="44" xfId="1" applyFont="1" applyFill="1" applyBorder="1" applyAlignment="1">
      <alignment horizontal="center" vertical="center"/>
    </xf>
    <xf numFmtId="9" fontId="4" fillId="0" borderId="41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0" fontId="5" fillId="5" borderId="62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9" fontId="5" fillId="0" borderId="42" xfId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6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5" fillId="0" borderId="54" xfId="0" applyNumberFormat="1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9" fontId="3" fillId="3" borderId="23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3" fillId="3" borderId="65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7" fillId="3" borderId="64" xfId="0" applyFont="1" applyFill="1" applyBorder="1" applyAlignment="1">
      <alignment horizontal="center" vertical="center"/>
    </xf>
    <xf numFmtId="0" fontId="7" fillId="3" borderId="6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62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7" fillId="3" borderId="65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center"/>
    </xf>
    <xf numFmtId="0" fontId="7" fillId="3" borderId="70" xfId="0" applyFont="1" applyFill="1" applyBorder="1" applyAlignment="1">
      <alignment horizontal="center" vertical="center"/>
    </xf>
    <xf numFmtId="0" fontId="7" fillId="3" borderId="71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9" fontId="5" fillId="6" borderId="16" xfId="0" applyNumberFormat="1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9" fontId="5" fillId="6" borderId="33" xfId="0" applyNumberFormat="1" applyFont="1" applyFill="1" applyBorder="1" applyAlignment="1">
      <alignment horizontal="center" vertical="center"/>
    </xf>
    <xf numFmtId="9" fontId="4" fillId="6" borderId="22" xfId="0" applyNumberFormat="1" applyFont="1" applyFill="1" applyBorder="1" applyAlignment="1">
      <alignment horizontal="center" vertical="center"/>
    </xf>
    <xf numFmtId="9" fontId="0" fillId="6" borderId="16" xfId="1" applyFont="1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9" fontId="0" fillId="6" borderId="33" xfId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9" fontId="3" fillId="6" borderId="23" xfId="1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6" fillId="3" borderId="70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9165-EB17-4118-9030-C819C6642445}">
  <sheetPr>
    <outlinePr summaryBelow="0" summaryRight="0"/>
  </sheetPr>
  <dimension ref="A1:M17"/>
  <sheetViews>
    <sheetView workbookViewId="0">
      <selection activeCell="H14" sqref="H14"/>
    </sheetView>
  </sheetViews>
  <sheetFormatPr defaultColWidth="12.6328125" defaultRowHeight="15.75" customHeight="1" x14ac:dyDescent="0.25"/>
  <cols>
    <col min="1" max="1" width="17.08984375" style="24" bestFit="1" customWidth="1"/>
    <col min="2" max="2" width="8.36328125" style="24" bestFit="1" customWidth="1"/>
    <col min="3" max="4" width="7.36328125" style="24" bestFit="1" customWidth="1"/>
    <col min="5" max="7" width="7.36328125" style="24" customWidth="1"/>
    <col min="8" max="8" width="7.81640625" style="24" bestFit="1" customWidth="1"/>
    <col min="9" max="9" width="6.6328125" style="24" bestFit="1" customWidth="1"/>
    <col min="10" max="10" width="6.90625" style="24" bestFit="1" customWidth="1"/>
    <col min="11" max="12" width="10.36328125" style="24" customWidth="1"/>
    <col min="13" max="13" width="6.36328125" style="24" bestFit="1" customWidth="1"/>
    <col min="14" max="14" width="8.36328125" style="24" bestFit="1" customWidth="1"/>
    <col min="15" max="15" width="7.36328125" style="24" bestFit="1" customWidth="1"/>
    <col min="16" max="16" width="6.453125" style="24" bestFit="1" customWidth="1"/>
    <col min="17" max="17" width="6.36328125" style="24" bestFit="1" customWidth="1"/>
    <col min="18" max="16384" width="12.6328125" style="24"/>
  </cols>
  <sheetData>
    <row r="1" spans="1:13" ht="15.75" customHeight="1" thickBot="1" x14ac:dyDescent="0.3">
      <c r="A1" s="135" t="s">
        <v>11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3" ht="15.75" customHeight="1" thickBot="1" x14ac:dyDescent="0.3">
      <c r="A2" s="137" t="s">
        <v>10</v>
      </c>
      <c r="B2" s="139" t="s">
        <v>29</v>
      </c>
      <c r="C2" s="140"/>
      <c r="D2" s="141"/>
      <c r="E2" s="142" t="s">
        <v>30</v>
      </c>
      <c r="F2" s="143"/>
      <c r="G2" s="144"/>
      <c r="H2" s="145" t="s">
        <v>26</v>
      </c>
      <c r="I2" s="145"/>
      <c r="J2" s="145"/>
      <c r="K2" s="146" t="s">
        <v>8</v>
      </c>
      <c r="L2" s="147"/>
      <c r="M2" s="148"/>
    </row>
    <row r="3" spans="1:13" ht="14.5" thickBot="1" x14ac:dyDescent="0.3">
      <c r="A3" s="138"/>
      <c r="B3" s="50" t="s">
        <v>1</v>
      </c>
      <c r="C3" s="57" t="s">
        <v>2</v>
      </c>
      <c r="D3" s="58" t="s">
        <v>3</v>
      </c>
      <c r="E3" s="50" t="s">
        <v>1</v>
      </c>
      <c r="F3" s="57" t="s">
        <v>2</v>
      </c>
      <c r="G3" s="58" t="s">
        <v>3</v>
      </c>
      <c r="H3" s="204" t="s">
        <v>1</v>
      </c>
      <c r="I3" s="205" t="s">
        <v>2</v>
      </c>
      <c r="J3" s="39" t="s">
        <v>3</v>
      </c>
      <c r="K3" s="206" t="s">
        <v>1</v>
      </c>
      <c r="L3" s="205" t="s">
        <v>2</v>
      </c>
      <c r="M3" s="58" t="s">
        <v>3</v>
      </c>
    </row>
    <row r="4" spans="1:13" ht="15.75" customHeight="1" x14ac:dyDescent="0.25">
      <c r="A4" s="78" t="s">
        <v>5</v>
      </c>
      <c r="B4" s="79"/>
      <c r="C4" s="71">
        <v>1276</v>
      </c>
      <c r="D4" s="33"/>
      <c r="E4" s="80"/>
      <c r="F4" s="5">
        <v>1914</v>
      </c>
      <c r="G4" s="6"/>
      <c r="H4" s="179"/>
      <c r="I4" s="180">
        <f>C4+F4</f>
        <v>3190</v>
      </c>
      <c r="J4" s="33"/>
      <c r="K4" s="183"/>
      <c r="L4" s="180">
        <v>63795</v>
      </c>
      <c r="M4" s="6"/>
    </row>
    <row r="5" spans="1:13" ht="15.75" customHeight="1" x14ac:dyDescent="0.25">
      <c r="A5" s="9" t="s">
        <v>9</v>
      </c>
      <c r="B5" s="79"/>
      <c r="C5" s="71">
        <v>1751</v>
      </c>
      <c r="D5" s="33"/>
      <c r="E5" s="80"/>
      <c r="F5" s="11">
        <v>2627</v>
      </c>
      <c r="G5" s="12"/>
      <c r="H5" s="179"/>
      <c r="I5" s="180">
        <f t="shared" ref="I5:I7" si="0">C5+F5</f>
        <v>4378</v>
      </c>
      <c r="J5" s="33"/>
      <c r="K5" s="183"/>
      <c r="L5" s="185">
        <v>87554</v>
      </c>
      <c r="M5" s="12"/>
    </row>
    <row r="6" spans="1:13" ht="15.75" customHeight="1" x14ac:dyDescent="0.25">
      <c r="A6" s="9" t="s">
        <v>4</v>
      </c>
      <c r="B6" s="79"/>
      <c r="C6" s="71">
        <v>140</v>
      </c>
      <c r="D6" s="33"/>
      <c r="E6" s="80"/>
      <c r="F6" s="11">
        <v>210</v>
      </c>
      <c r="G6" s="12"/>
      <c r="H6" s="179"/>
      <c r="I6" s="180">
        <f t="shared" si="0"/>
        <v>350</v>
      </c>
      <c r="J6" s="27"/>
      <c r="K6" s="183"/>
      <c r="L6" s="185">
        <v>6997</v>
      </c>
      <c r="M6" s="12"/>
    </row>
    <row r="7" spans="1:13" ht="15.75" customHeight="1" thickBot="1" x14ac:dyDescent="0.3">
      <c r="A7" s="15" t="s">
        <v>6</v>
      </c>
      <c r="B7" s="81"/>
      <c r="C7" s="24">
        <v>658</v>
      </c>
      <c r="D7" s="36"/>
      <c r="E7" s="82"/>
      <c r="F7" s="17">
        <v>987</v>
      </c>
      <c r="G7" s="18"/>
      <c r="H7" s="190"/>
      <c r="I7" s="180">
        <f t="shared" si="0"/>
        <v>1645</v>
      </c>
      <c r="J7" s="36"/>
      <c r="K7" s="183"/>
      <c r="L7" s="187">
        <v>32893</v>
      </c>
      <c r="M7" s="18"/>
    </row>
    <row r="8" spans="1:13" ht="15.75" customHeight="1" thickBot="1" x14ac:dyDescent="0.3">
      <c r="A8" s="21" t="s">
        <v>7</v>
      </c>
      <c r="B8" s="83"/>
      <c r="C8" s="61">
        <f>SUM(C4:C7)</f>
        <v>3825</v>
      </c>
      <c r="D8" s="62"/>
      <c r="E8" s="84"/>
      <c r="F8" s="61">
        <f>SUM(F4:F7)</f>
        <v>5738</v>
      </c>
      <c r="G8" s="62"/>
      <c r="H8" s="202"/>
      <c r="I8" s="182">
        <f>SUM(I4:I7)</f>
        <v>9563</v>
      </c>
      <c r="J8" s="62"/>
      <c r="K8" s="203"/>
      <c r="L8" s="182">
        <f>SUM(L4:L7)</f>
        <v>191239</v>
      </c>
      <c r="M8" s="62"/>
    </row>
    <row r="9" spans="1:13" ht="15.75" customHeight="1" thickBot="1" x14ac:dyDescent="0.3"/>
    <row r="10" spans="1:13" ht="15.75" customHeight="1" thickBot="1" x14ac:dyDescent="0.3">
      <c r="A10" s="127" t="s">
        <v>13</v>
      </c>
      <c r="B10" s="128"/>
      <c r="C10" s="128"/>
      <c r="D10" s="129"/>
    </row>
    <row r="11" spans="1:13" ht="15.75" customHeight="1" thickBot="1" x14ac:dyDescent="0.3">
      <c r="A11" s="130" t="s">
        <v>10</v>
      </c>
      <c r="B11" s="132" t="s">
        <v>8</v>
      </c>
      <c r="C11" s="133"/>
      <c r="D11" s="134"/>
    </row>
    <row r="12" spans="1:13" ht="15.75" customHeight="1" thickBot="1" x14ac:dyDescent="0.3">
      <c r="A12" s="131"/>
      <c r="B12" s="59" t="s">
        <v>1</v>
      </c>
      <c r="C12" s="57" t="s">
        <v>2</v>
      </c>
      <c r="D12" s="58" t="s">
        <v>3</v>
      </c>
    </row>
    <row r="13" spans="1:13" ht="15.75" customHeight="1" x14ac:dyDescent="0.25">
      <c r="A13" s="3" t="s">
        <v>5</v>
      </c>
      <c r="B13" s="80"/>
      <c r="C13" s="5">
        <v>63795</v>
      </c>
      <c r="D13" s="6"/>
    </row>
    <row r="14" spans="1:13" ht="15.75" customHeight="1" x14ac:dyDescent="0.25">
      <c r="A14" s="9" t="s">
        <v>9</v>
      </c>
      <c r="B14" s="80"/>
      <c r="C14" s="11">
        <v>87554</v>
      </c>
      <c r="D14" s="12"/>
    </row>
    <row r="15" spans="1:13" ht="15.75" customHeight="1" x14ac:dyDescent="0.25">
      <c r="A15" s="9" t="s">
        <v>4</v>
      </c>
      <c r="B15" s="80"/>
      <c r="C15" s="11">
        <v>6997</v>
      </c>
      <c r="D15" s="12"/>
    </row>
    <row r="16" spans="1:13" ht="15.75" customHeight="1" thickBot="1" x14ac:dyDescent="0.3">
      <c r="A16" s="15" t="s">
        <v>6</v>
      </c>
      <c r="B16" s="82"/>
      <c r="C16" s="17">
        <v>32893</v>
      </c>
      <c r="D16" s="18"/>
    </row>
    <row r="17" spans="1:4" ht="15.75" customHeight="1" thickBot="1" x14ac:dyDescent="0.3">
      <c r="A17" s="21" t="s">
        <v>7</v>
      </c>
      <c r="B17" s="84"/>
      <c r="C17" s="61">
        <f>SUM(C13:C16)</f>
        <v>191239</v>
      </c>
      <c r="D17" s="23"/>
    </row>
  </sheetData>
  <mergeCells count="9">
    <mergeCell ref="A10:D10"/>
    <mergeCell ref="A11:A12"/>
    <mergeCell ref="B11:D11"/>
    <mergeCell ref="A1:M1"/>
    <mergeCell ref="A2:A3"/>
    <mergeCell ref="B2:D2"/>
    <mergeCell ref="E2:G2"/>
    <mergeCell ref="H2:J2"/>
    <mergeCell ref="K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69D0-91D8-4266-9FE7-0EE010A5C2F7}">
  <dimension ref="A1:Q17"/>
  <sheetViews>
    <sheetView workbookViewId="0">
      <selection activeCell="I16" sqref="I16"/>
    </sheetView>
  </sheetViews>
  <sheetFormatPr defaultRowHeight="12.5" x14ac:dyDescent="0.25"/>
  <cols>
    <col min="1" max="1" width="17.08984375" style="1" bestFit="1" customWidth="1"/>
    <col min="2" max="16384" width="8.7265625" style="1"/>
  </cols>
  <sheetData>
    <row r="1" spans="1:17" ht="14.5" thickBot="1" x14ac:dyDescent="0.3">
      <c r="A1" s="135" t="s">
        <v>14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49"/>
    </row>
    <row r="2" spans="1:17" ht="14.5" thickBot="1" x14ac:dyDescent="0.3">
      <c r="A2" s="153" t="s">
        <v>10</v>
      </c>
      <c r="B2" s="177" t="s">
        <v>29</v>
      </c>
      <c r="C2" s="214"/>
      <c r="D2" s="178"/>
      <c r="E2" s="215" t="s">
        <v>30</v>
      </c>
      <c r="F2" s="216"/>
      <c r="G2" s="217"/>
      <c r="H2" s="166" t="s">
        <v>26</v>
      </c>
      <c r="I2" s="166"/>
      <c r="J2" s="166"/>
      <c r="K2" s="211" t="s">
        <v>8</v>
      </c>
      <c r="L2" s="212"/>
      <c r="M2" s="213"/>
    </row>
    <row r="3" spans="1:17" ht="14.5" thickBot="1" x14ac:dyDescent="0.3">
      <c r="A3" s="218"/>
      <c r="B3" s="207" t="s">
        <v>1</v>
      </c>
      <c r="C3" s="230" t="s">
        <v>2</v>
      </c>
      <c r="D3" s="209" t="s">
        <v>3</v>
      </c>
      <c r="E3" s="124" t="s">
        <v>1</v>
      </c>
      <c r="F3" s="230" t="s">
        <v>2</v>
      </c>
      <c r="G3" s="231" t="s">
        <v>3</v>
      </c>
      <c r="H3" s="207" t="s">
        <v>1</v>
      </c>
      <c r="I3" s="230" t="s">
        <v>2</v>
      </c>
      <c r="J3" s="208" t="s">
        <v>3</v>
      </c>
      <c r="K3" s="207" t="s">
        <v>1</v>
      </c>
      <c r="L3" s="230" t="s">
        <v>2</v>
      </c>
      <c r="M3" s="209" t="s">
        <v>3</v>
      </c>
    </row>
    <row r="4" spans="1:17" ht="14" x14ac:dyDescent="0.25">
      <c r="A4" s="229" t="s">
        <v>5</v>
      </c>
      <c r="B4" s="232"/>
      <c r="C4" s="233">
        <v>0</v>
      </c>
      <c r="D4" s="234"/>
      <c r="E4" s="232"/>
      <c r="F4" s="233">
        <v>0</v>
      </c>
      <c r="G4" s="234"/>
      <c r="H4" s="235"/>
      <c r="I4" s="236">
        <f>C4+F4</f>
        <v>0</v>
      </c>
      <c r="J4" s="234"/>
      <c r="K4" s="235"/>
      <c r="L4" s="236">
        <v>11</v>
      </c>
      <c r="M4" s="234"/>
    </row>
    <row r="5" spans="1:17" ht="14" x14ac:dyDescent="0.25">
      <c r="A5" s="229" t="s">
        <v>9</v>
      </c>
      <c r="B5" s="103"/>
      <c r="C5" s="11">
        <v>212</v>
      </c>
      <c r="D5" s="12"/>
      <c r="E5" s="103"/>
      <c r="F5" s="11">
        <v>319</v>
      </c>
      <c r="G5" s="12"/>
      <c r="H5" s="189"/>
      <c r="I5" s="185">
        <f>C5+F5</f>
        <v>531</v>
      </c>
      <c r="J5" s="12"/>
      <c r="K5" s="189"/>
      <c r="L5" s="185">
        <v>10619</v>
      </c>
      <c r="M5" s="12"/>
    </row>
    <row r="6" spans="1:17" ht="14" x14ac:dyDescent="0.25">
      <c r="A6" s="229" t="s">
        <v>4</v>
      </c>
      <c r="B6" s="103"/>
      <c r="C6" s="11">
        <v>31</v>
      </c>
      <c r="D6" s="12"/>
      <c r="E6" s="103"/>
      <c r="F6" s="11">
        <v>46</v>
      </c>
      <c r="G6" s="12"/>
      <c r="H6" s="189"/>
      <c r="I6" s="185">
        <f>C6+F6</f>
        <v>77</v>
      </c>
      <c r="J6" s="12"/>
      <c r="K6" s="189"/>
      <c r="L6" s="185">
        <v>1538</v>
      </c>
      <c r="M6" s="12"/>
    </row>
    <row r="7" spans="1:17" ht="14.5" thickBot="1" x14ac:dyDescent="0.3">
      <c r="A7" s="229" t="s">
        <v>6</v>
      </c>
      <c r="B7" s="104"/>
      <c r="C7" s="17">
        <v>83</v>
      </c>
      <c r="D7" s="18"/>
      <c r="E7" s="104"/>
      <c r="F7" s="17">
        <v>125</v>
      </c>
      <c r="G7" s="18"/>
      <c r="H7" s="237"/>
      <c r="I7" s="187">
        <f>C7+F7</f>
        <v>208</v>
      </c>
      <c r="J7" s="18"/>
      <c r="K7" s="237"/>
      <c r="L7" s="187">
        <v>4161</v>
      </c>
      <c r="M7" s="18"/>
    </row>
    <row r="8" spans="1:17" s="64" customFormat="1" ht="14.5" thickBot="1" x14ac:dyDescent="0.3">
      <c r="A8" s="60" t="s">
        <v>7</v>
      </c>
      <c r="B8" s="238"/>
      <c r="C8" s="61">
        <f>SUM(C4:C7)</f>
        <v>326</v>
      </c>
      <c r="D8" s="61"/>
      <c r="E8" s="239"/>
      <c r="F8" s="61">
        <f>SUM(F4:F7)</f>
        <v>490</v>
      </c>
      <c r="G8" s="61"/>
      <c r="H8" s="210"/>
      <c r="I8" s="182">
        <f>SUM(I4:I7)</f>
        <v>816</v>
      </c>
      <c r="J8" s="61"/>
      <c r="K8" s="210"/>
      <c r="L8" s="182">
        <f>SUM(L4:L7)</f>
        <v>16329</v>
      </c>
      <c r="M8" s="62"/>
    </row>
    <row r="9" spans="1:17" ht="14.5" thickBot="1" x14ac:dyDescent="0.3">
      <c r="A9" s="24"/>
      <c r="B9" s="91"/>
      <c r="C9" s="90"/>
      <c r="D9" s="89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 ht="14.5" thickBot="1" x14ac:dyDescent="0.3">
      <c r="A10" s="127" t="s">
        <v>15</v>
      </c>
      <c r="B10" s="128"/>
      <c r="C10" s="128"/>
      <c r="D10" s="129"/>
      <c r="E10" s="24"/>
      <c r="F10" s="24"/>
      <c r="G10" s="24"/>
      <c r="H10" s="24"/>
      <c r="I10" s="24"/>
      <c r="J10" s="24"/>
      <c r="K10" s="24"/>
      <c r="L10" s="24"/>
      <c r="M10" s="24"/>
    </row>
    <row r="11" spans="1:17" ht="14" x14ac:dyDescent="0.25">
      <c r="A11" s="137" t="s">
        <v>10</v>
      </c>
      <c r="B11" s="150" t="s">
        <v>8</v>
      </c>
      <c r="C11" s="151"/>
      <c r="D11" s="152"/>
      <c r="E11" s="24"/>
      <c r="F11" s="24"/>
      <c r="G11" s="24"/>
      <c r="H11" s="24"/>
      <c r="I11" s="24"/>
      <c r="J11" s="24"/>
      <c r="K11" s="24"/>
      <c r="L11" s="24"/>
      <c r="M11" s="24"/>
    </row>
    <row r="12" spans="1:17" ht="14" x14ac:dyDescent="0.25">
      <c r="A12" s="138"/>
      <c r="B12" s="56" t="s">
        <v>1</v>
      </c>
      <c r="C12" s="55" t="s">
        <v>2</v>
      </c>
      <c r="D12" s="88" t="s">
        <v>3</v>
      </c>
      <c r="E12" s="24"/>
      <c r="F12" s="24"/>
      <c r="G12" s="24"/>
      <c r="H12" s="24"/>
      <c r="I12" s="24"/>
      <c r="J12" s="24"/>
      <c r="K12" s="24"/>
      <c r="L12" s="24"/>
      <c r="M12" s="24"/>
    </row>
    <row r="13" spans="1:17" ht="14" x14ac:dyDescent="0.25">
      <c r="A13" s="9" t="s">
        <v>5</v>
      </c>
      <c r="B13" s="87"/>
      <c r="C13" s="11">
        <v>11</v>
      </c>
      <c r="D13" s="12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7" ht="14" x14ac:dyDescent="0.25">
      <c r="A14" s="9" t="s">
        <v>9</v>
      </c>
      <c r="B14" s="87"/>
      <c r="C14" s="11">
        <v>10619</v>
      </c>
      <c r="D14" s="12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7" ht="14" x14ac:dyDescent="0.25">
      <c r="A15" s="9" t="s">
        <v>4</v>
      </c>
      <c r="B15" s="87"/>
      <c r="C15" s="11">
        <v>1538</v>
      </c>
      <c r="D15" s="12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7" ht="14.5" thickBot="1" x14ac:dyDescent="0.3">
      <c r="A16" s="15" t="s">
        <v>6</v>
      </c>
      <c r="B16" s="86"/>
      <c r="C16" s="17">
        <v>4161</v>
      </c>
      <c r="D16" s="1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s="64" customFormat="1" ht="14.5" thickBot="1" x14ac:dyDescent="0.3">
      <c r="A17" s="21" t="s">
        <v>7</v>
      </c>
      <c r="B17" s="85"/>
      <c r="C17" s="61">
        <f>SUM(C13:C16)</f>
        <v>16329</v>
      </c>
      <c r="D17" s="62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</row>
  </sheetData>
  <mergeCells count="9">
    <mergeCell ref="K2:M2"/>
    <mergeCell ref="B2:D2"/>
    <mergeCell ref="A1:M1"/>
    <mergeCell ref="A11:A12"/>
    <mergeCell ref="B11:D11"/>
    <mergeCell ref="A10:D10"/>
    <mergeCell ref="H2:J2"/>
    <mergeCell ref="A2:A3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8F56-2183-4AFE-8D8D-8F12DEE73F25}">
  <dimension ref="A1:N18"/>
  <sheetViews>
    <sheetView workbookViewId="0">
      <selection activeCell="K25" sqref="K25"/>
    </sheetView>
  </sheetViews>
  <sheetFormatPr defaultRowHeight="12.5" x14ac:dyDescent="0.25"/>
  <cols>
    <col min="1" max="1" width="17.08984375" style="1" bestFit="1" customWidth="1"/>
    <col min="2" max="2" width="17.08984375" style="1" customWidth="1"/>
    <col min="3" max="16384" width="8.7265625" style="1"/>
  </cols>
  <sheetData>
    <row r="1" spans="1:14" ht="14.5" thickBot="1" x14ac:dyDescent="0.3">
      <c r="A1" s="135" t="s">
        <v>21</v>
      </c>
      <c r="B1" s="136"/>
      <c r="C1" s="136"/>
      <c r="D1" s="149"/>
    </row>
    <row r="2" spans="1:14" ht="14.5" thickBot="1" x14ac:dyDescent="0.3">
      <c r="A2" s="156" t="s">
        <v>10</v>
      </c>
      <c r="B2" s="159" t="s">
        <v>8</v>
      </c>
      <c r="C2" s="158"/>
      <c r="D2" s="160"/>
    </row>
    <row r="3" spans="1:14" ht="14.5" thickBot="1" x14ac:dyDescent="0.3">
      <c r="A3" s="157"/>
      <c r="B3" s="45" t="s">
        <v>1</v>
      </c>
      <c r="C3" s="46" t="s">
        <v>2</v>
      </c>
      <c r="D3" s="47" t="s">
        <v>3</v>
      </c>
    </row>
    <row r="4" spans="1:14" ht="14" x14ac:dyDescent="0.25">
      <c r="A4" s="2" t="s">
        <v>5</v>
      </c>
      <c r="B4" s="4">
        <v>0</v>
      </c>
      <c r="C4" s="5">
        <v>48</v>
      </c>
      <c r="D4" s="6"/>
    </row>
    <row r="5" spans="1:14" ht="14" x14ac:dyDescent="0.25">
      <c r="A5" s="8" t="s">
        <v>9</v>
      </c>
      <c r="B5" s="10">
        <v>0</v>
      </c>
      <c r="C5" s="11">
        <v>1229</v>
      </c>
      <c r="D5" s="12"/>
    </row>
    <row r="6" spans="1:14" ht="14" x14ac:dyDescent="0.25">
      <c r="A6" s="8" t="s">
        <v>4</v>
      </c>
      <c r="B6" s="10">
        <v>0</v>
      </c>
      <c r="C6" s="11">
        <v>244</v>
      </c>
      <c r="D6" s="12"/>
    </row>
    <row r="7" spans="1:14" ht="14.5" thickBot="1" x14ac:dyDescent="0.3">
      <c r="A7" s="14" t="s">
        <v>6</v>
      </c>
      <c r="B7" s="16">
        <v>0</v>
      </c>
      <c r="C7" s="17">
        <v>600</v>
      </c>
      <c r="D7" s="18"/>
    </row>
    <row r="8" spans="1:14" s="64" customFormat="1" ht="14.5" thickBot="1" x14ac:dyDescent="0.3">
      <c r="A8" s="20" t="s">
        <v>7</v>
      </c>
      <c r="B8" s="60">
        <v>0</v>
      </c>
      <c r="C8" s="61">
        <f>SUM(C4:C7)</f>
        <v>2121</v>
      </c>
      <c r="D8" s="62"/>
    </row>
    <row r="10" spans="1:14" ht="13" thickBot="1" x14ac:dyDescent="0.3"/>
    <row r="11" spans="1:14" ht="14.5" thickBot="1" x14ac:dyDescent="0.3">
      <c r="A11" s="135" t="s">
        <v>23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5"/>
    </row>
    <row r="12" spans="1:14" ht="14.5" thickBot="1" x14ac:dyDescent="0.3">
      <c r="A12" s="137" t="s">
        <v>10</v>
      </c>
      <c r="B12" s="193"/>
      <c r="C12" s="159" t="s">
        <v>29</v>
      </c>
      <c r="D12" s="158"/>
      <c r="E12" s="160"/>
      <c r="F12" s="158" t="s">
        <v>0</v>
      </c>
      <c r="G12" s="140"/>
      <c r="H12" s="140"/>
      <c r="I12" s="140" t="s">
        <v>26</v>
      </c>
      <c r="J12" s="140"/>
      <c r="K12" s="140"/>
      <c r="L12" s="161" t="s">
        <v>8</v>
      </c>
      <c r="M12" s="161"/>
      <c r="N12" s="162"/>
    </row>
    <row r="13" spans="1:14" ht="14.5" thickBot="1" x14ac:dyDescent="0.3">
      <c r="A13" s="131"/>
      <c r="B13" s="70" t="s">
        <v>22</v>
      </c>
      <c r="C13" s="50" t="s">
        <v>1</v>
      </c>
      <c r="D13" s="57" t="s">
        <v>2</v>
      </c>
      <c r="E13" s="58" t="s">
        <v>3</v>
      </c>
      <c r="F13" s="48" t="s">
        <v>1</v>
      </c>
      <c r="G13" s="46" t="s">
        <v>2</v>
      </c>
      <c r="H13" s="47" t="s">
        <v>3</v>
      </c>
      <c r="I13" s="45" t="s">
        <v>1</v>
      </c>
      <c r="J13" s="46" t="s">
        <v>2</v>
      </c>
      <c r="K13" s="54" t="s">
        <v>3</v>
      </c>
      <c r="L13" s="48" t="s">
        <v>1</v>
      </c>
      <c r="M13" s="46" t="s">
        <v>2</v>
      </c>
      <c r="N13" s="47" t="s">
        <v>3</v>
      </c>
    </row>
    <row r="14" spans="1:14" ht="14" x14ac:dyDescent="0.25">
      <c r="A14" s="3" t="s">
        <v>5</v>
      </c>
      <c r="B14" s="95">
        <v>48</v>
      </c>
      <c r="C14" s="95"/>
      <c r="D14" s="11">
        <v>0</v>
      </c>
      <c r="E14" s="96"/>
      <c r="F14" s="7"/>
      <c r="G14" s="5">
        <v>24</v>
      </c>
      <c r="H14" s="6"/>
      <c r="I14" s="179">
        <f>B14</f>
        <v>48</v>
      </c>
      <c r="J14" s="180">
        <v>24</v>
      </c>
      <c r="K14" s="38">
        <f>I14/J14</f>
        <v>2</v>
      </c>
      <c r="L14" s="183">
        <f>I14</f>
        <v>48</v>
      </c>
      <c r="M14" s="180">
        <v>48</v>
      </c>
      <c r="N14" s="25">
        <f>L14/M14</f>
        <v>1</v>
      </c>
    </row>
    <row r="15" spans="1:14" ht="14" x14ac:dyDescent="0.25">
      <c r="A15" s="9" t="s">
        <v>9</v>
      </c>
      <c r="B15" s="95">
        <v>1229</v>
      </c>
      <c r="C15" s="95"/>
      <c r="D15" s="11">
        <v>0</v>
      </c>
      <c r="E15" s="96"/>
      <c r="F15" s="13"/>
      <c r="G15" s="11">
        <v>614</v>
      </c>
      <c r="H15" s="12"/>
      <c r="I15" s="179">
        <f t="shared" ref="I15:I17" si="0">B15</f>
        <v>1229</v>
      </c>
      <c r="J15" s="180">
        <v>614</v>
      </c>
      <c r="K15" s="38">
        <f t="shared" ref="K15:K17" si="1">I15/J15</f>
        <v>2.0016286644951138</v>
      </c>
      <c r="L15" s="183">
        <f t="shared" ref="L15:L17" si="2">I15</f>
        <v>1229</v>
      </c>
      <c r="M15" s="185">
        <v>1229</v>
      </c>
      <c r="N15" s="25">
        <f t="shared" ref="N15:N17" si="3">L15/M15</f>
        <v>1</v>
      </c>
    </row>
    <row r="16" spans="1:14" ht="14" x14ac:dyDescent="0.25">
      <c r="A16" s="9" t="s">
        <v>4</v>
      </c>
      <c r="B16" s="95">
        <v>244</v>
      </c>
      <c r="C16" s="95"/>
      <c r="D16" s="11">
        <v>0</v>
      </c>
      <c r="E16" s="96"/>
      <c r="F16" s="13"/>
      <c r="G16" s="11">
        <v>122</v>
      </c>
      <c r="H16" s="12"/>
      <c r="I16" s="179">
        <f t="shared" si="0"/>
        <v>244</v>
      </c>
      <c r="J16" s="180">
        <v>122</v>
      </c>
      <c r="K16" s="38">
        <f t="shared" si="1"/>
        <v>2</v>
      </c>
      <c r="L16" s="183">
        <f t="shared" si="2"/>
        <v>244</v>
      </c>
      <c r="M16" s="185">
        <v>244</v>
      </c>
      <c r="N16" s="25">
        <f t="shared" si="3"/>
        <v>1</v>
      </c>
    </row>
    <row r="17" spans="1:14" ht="14.5" thickBot="1" x14ac:dyDescent="0.3">
      <c r="A17" s="15" t="s">
        <v>6</v>
      </c>
      <c r="B17" s="97">
        <v>600</v>
      </c>
      <c r="C17" s="97"/>
      <c r="D17" s="17">
        <v>0</v>
      </c>
      <c r="E17" s="98"/>
      <c r="F17" s="19"/>
      <c r="G17" s="17">
        <v>300</v>
      </c>
      <c r="H17" s="18"/>
      <c r="I17" s="179">
        <f t="shared" si="0"/>
        <v>600</v>
      </c>
      <c r="J17" s="201">
        <v>300</v>
      </c>
      <c r="K17" s="94">
        <f t="shared" si="1"/>
        <v>2</v>
      </c>
      <c r="L17" s="183">
        <f t="shared" si="2"/>
        <v>600</v>
      </c>
      <c r="M17" s="187">
        <v>600</v>
      </c>
      <c r="N17" s="26">
        <f t="shared" si="3"/>
        <v>1</v>
      </c>
    </row>
    <row r="18" spans="1:14" s="64" customFormat="1" ht="14.5" thickBot="1" x14ac:dyDescent="0.3">
      <c r="A18" s="21" t="s">
        <v>7</v>
      </c>
      <c r="B18" s="99">
        <f>SUM(B14:D17)</f>
        <v>2121</v>
      </c>
      <c r="C18" s="99"/>
      <c r="D18" s="61">
        <f>SUM(D14:D17)</f>
        <v>0</v>
      </c>
      <c r="E18" s="100"/>
      <c r="F18" s="63"/>
      <c r="G18" s="61">
        <f>SUM(G14:G17)</f>
        <v>1060</v>
      </c>
      <c r="H18" s="62"/>
      <c r="I18" s="181">
        <f>SUM(I14:I17)</f>
        <v>2121</v>
      </c>
      <c r="J18" s="182">
        <f>C18+G18</f>
        <v>1060</v>
      </c>
      <c r="K18" s="75">
        <f>I18/J18</f>
        <v>2.0009433962264151</v>
      </c>
      <c r="L18" s="188">
        <f>SUM(L14:L17)</f>
        <v>2121</v>
      </c>
      <c r="M18" s="182">
        <f>SUM(M14:M17)</f>
        <v>2121</v>
      </c>
      <c r="N18" s="66">
        <f>L18/M18</f>
        <v>1</v>
      </c>
    </row>
  </sheetData>
  <mergeCells count="9">
    <mergeCell ref="A11:N11"/>
    <mergeCell ref="A2:A3"/>
    <mergeCell ref="I12:K12"/>
    <mergeCell ref="F12:H12"/>
    <mergeCell ref="A12:A13"/>
    <mergeCell ref="C12:E12"/>
    <mergeCell ref="L12:N12"/>
    <mergeCell ref="B2:D2"/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856F-3F4B-45C1-BB4D-A15D862DE52E}">
  <dimension ref="A1:D8"/>
  <sheetViews>
    <sheetView workbookViewId="0">
      <selection activeCell="A8" sqref="A8:D8"/>
    </sheetView>
  </sheetViews>
  <sheetFormatPr defaultRowHeight="12.5" x14ac:dyDescent="0.25"/>
  <cols>
    <col min="1" max="1" width="17.08984375" style="1" bestFit="1" customWidth="1"/>
    <col min="2" max="16384" width="8.7265625" style="1"/>
  </cols>
  <sheetData>
    <row r="1" spans="1:4" ht="14.5" thickBot="1" x14ac:dyDescent="0.3">
      <c r="A1" s="135" t="s">
        <v>25</v>
      </c>
      <c r="B1" s="136"/>
      <c r="C1" s="136"/>
      <c r="D1" s="149"/>
    </row>
    <row r="2" spans="1:4" ht="14" x14ac:dyDescent="0.25">
      <c r="A2" s="156" t="s">
        <v>10</v>
      </c>
      <c r="B2" s="163" t="s">
        <v>8</v>
      </c>
      <c r="C2" s="164"/>
      <c r="D2" s="165"/>
    </row>
    <row r="3" spans="1:4" ht="14.5" thickBot="1" x14ac:dyDescent="0.3">
      <c r="A3" s="157"/>
      <c r="B3" s="40" t="s">
        <v>1</v>
      </c>
      <c r="C3" s="41" t="s">
        <v>2</v>
      </c>
      <c r="D3" s="42" t="s">
        <v>3</v>
      </c>
    </row>
    <row r="4" spans="1:4" ht="14" x14ac:dyDescent="0.25">
      <c r="A4" s="2" t="s">
        <v>5</v>
      </c>
      <c r="B4" s="4" t="s">
        <v>24</v>
      </c>
      <c r="C4" s="4" t="s">
        <v>24</v>
      </c>
      <c r="D4" s="4" t="s">
        <v>24</v>
      </c>
    </row>
    <row r="5" spans="1:4" ht="14" x14ac:dyDescent="0.25">
      <c r="A5" s="8" t="s">
        <v>9</v>
      </c>
      <c r="B5" s="4" t="s">
        <v>24</v>
      </c>
      <c r="C5" s="4" t="s">
        <v>24</v>
      </c>
      <c r="D5" s="4" t="s">
        <v>24</v>
      </c>
    </row>
    <row r="6" spans="1:4" ht="14" x14ac:dyDescent="0.25">
      <c r="A6" s="8" t="s">
        <v>4</v>
      </c>
      <c r="B6" s="4" t="s">
        <v>24</v>
      </c>
      <c r="C6" s="4" t="s">
        <v>24</v>
      </c>
      <c r="D6" s="4" t="s">
        <v>24</v>
      </c>
    </row>
    <row r="7" spans="1:4" ht="14.5" thickBot="1" x14ac:dyDescent="0.3">
      <c r="A7" s="14" t="s">
        <v>6</v>
      </c>
      <c r="B7" s="35" t="s">
        <v>24</v>
      </c>
      <c r="C7" s="35" t="s">
        <v>24</v>
      </c>
      <c r="D7" s="35" t="s">
        <v>24</v>
      </c>
    </row>
    <row r="8" spans="1:4" s="64" customFormat="1" ht="14.5" thickBot="1" x14ac:dyDescent="0.3">
      <c r="A8" s="20" t="s">
        <v>7</v>
      </c>
      <c r="B8" s="22" t="s">
        <v>24</v>
      </c>
      <c r="C8" s="22" t="s">
        <v>24</v>
      </c>
      <c r="D8" s="118" t="s">
        <v>24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8BEB-AD2E-4402-90C9-F30F07E1B863}">
  <dimension ref="A1:N8"/>
  <sheetViews>
    <sheetView workbookViewId="0">
      <selection activeCell="I16" sqref="I16"/>
    </sheetView>
  </sheetViews>
  <sheetFormatPr defaultRowHeight="12.5" x14ac:dyDescent="0.25"/>
  <cols>
    <col min="1" max="1" width="17.08984375" style="1" bestFit="1" customWidth="1"/>
    <col min="2" max="2" width="17.08984375" style="1" customWidth="1"/>
    <col min="3" max="16384" width="8.7265625" style="1"/>
  </cols>
  <sheetData>
    <row r="1" spans="1:14" ht="14.5" thickBot="1" x14ac:dyDescent="0.3">
      <c r="A1" s="135" t="s">
        <v>16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49"/>
    </row>
    <row r="2" spans="1:14" ht="14" x14ac:dyDescent="0.25">
      <c r="A2" s="156" t="s">
        <v>10</v>
      </c>
      <c r="B2" s="126" t="s">
        <v>22</v>
      </c>
      <c r="C2" s="167" t="s">
        <v>29</v>
      </c>
      <c r="D2" s="168"/>
      <c r="E2" s="169"/>
      <c r="F2" s="163" t="s">
        <v>0</v>
      </c>
      <c r="G2" s="164"/>
      <c r="H2" s="165"/>
      <c r="I2" s="166" t="s">
        <v>26</v>
      </c>
      <c r="J2" s="166"/>
      <c r="K2" s="166"/>
      <c r="L2" s="150" t="s">
        <v>8</v>
      </c>
      <c r="M2" s="151"/>
      <c r="N2" s="152"/>
    </row>
    <row r="3" spans="1:14" ht="14.5" thickBot="1" x14ac:dyDescent="0.3">
      <c r="A3" s="157"/>
      <c r="B3" s="194" t="s">
        <v>1</v>
      </c>
      <c r="C3" s="40" t="s">
        <v>1</v>
      </c>
      <c r="D3" s="41" t="s">
        <v>2</v>
      </c>
      <c r="E3" s="42" t="s">
        <v>3</v>
      </c>
      <c r="F3" s="40" t="s">
        <v>1</v>
      </c>
      <c r="G3" s="41" t="s">
        <v>2</v>
      </c>
      <c r="H3" s="42" t="s">
        <v>3</v>
      </c>
      <c r="I3" s="55" t="s">
        <v>1</v>
      </c>
      <c r="J3" s="55" t="s">
        <v>2</v>
      </c>
      <c r="K3" s="56" t="s">
        <v>3</v>
      </c>
      <c r="L3" s="43" t="s">
        <v>1</v>
      </c>
      <c r="M3" s="41" t="s">
        <v>2</v>
      </c>
      <c r="N3" s="42" t="s">
        <v>3</v>
      </c>
    </row>
    <row r="4" spans="1:14" ht="14" x14ac:dyDescent="0.25">
      <c r="A4" s="2" t="s">
        <v>5</v>
      </c>
      <c r="B4" s="2">
        <v>965</v>
      </c>
      <c r="C4" s="195"/>
      <c r="D4" s="196">
        <v>613</v>
      </c>
      <c r="E4" s="197"/>
      <c r="F4" s="80"/>
      <c r="G4" s="5">
        <v>613</v>
      </c>
      <c r="H4" s="6"/>
      <c r="I4" s="185">
        <f>B4+C4+F4</f>
        <v>965</v>
      </c>
      <c r="J4" s="185">
        <f>613+613</f>
        <v>1226</v>
      </c>
      <c r="K4" s="72">
        <f>I4/J4</f>
        <v>0.78711256117455142</v>
      </c>
      <c r="L4" s="183">
        <f>I4</f>
        <v>965</v>
      </c>
      <c r="M4" s="180">
        <v>3065</v>
      </c>
      <c r="N4" s="25">
        <f>L4/M4</f>
        <v>0.31484502446982054</v>
      </c>
    </row>
    <row r="5" spans="1:14" ht="14" x14ac:dyDescent="0.25">
      <c r="A5" s="8" t="s">
        <v>6</v>
      </c>
      <c r="B5" s="8">
        <v>418</v>
      </c>
      <c r="C5" s="101"/>
      <c r="D5" s="198">
        <v>358</v>
      </c>
      <c r="E5" s="27"/>
      <c r="F5" s="103"/>
      <c r="G5" s="11">
        <v>358</v>
      </c>
      <c r="H5" s="12"/>
      <c r="I5" s="185">
        <f t="shared" ref="I5:I7" si="0">B5+C5+F5</f>
        <v>418</v>
      </c>
      <c r="J5" s="185">
        <f>358+358</f>
        <v>716</v>
      </c>
      <c r="K5" s="72">
        <f t="shared" ref="K5:K7" si="1">I5/J5</f>
        <v>0.58379888268156421</v>
      </c>
      <c r="L5" s="183">
        <f t="shared" ref="L5:L7" si="2">I5</f>
        <v>418</v>
      </c>
      <c r="M5" s="185">
        <v>1792</v>
      </c>
      <c r="N5" s="25">
        <f t="shared" ref="N5:N8" si="3">L5/M5</f>
        <v>0.23325892857142858</v>
      </c>
    </row>
    <row r="6" spans="1:14" ht="14" x14ac:dyDescent="0.25">
      <c r="A6" s="8" t="s">
        <v>9</v>
      </c>
      <c r="B6" s="8">
        <v>594</v>
      </c>
      <c r="C6" s="101"/>
      <c r="D6" s="198">
        <v>233</v>
      </c>
      <c r="E6" s="27"/>
      <c r="F6" s="103"/>
      <c r="G6" s="11">
        <v>233</v>
      </c>
      <c r="H6" s="12"/>
      <c r="I6" s="185">
        <f t="shared" si="0"/>
        <v>594</v>
      </c>
      <c r="J6" s="185">
        <f>233+233</f>
        <v>466</v>
      </c>
      <c r="K6" s="72">
        <f t="shared" si="1"/>
        <v>1.2746781115879828</v>
      </c>
      <c r="L6" s="183">
        <f t="shared" si="2"/>
        <v>594</v>
      </c>
      <c r="M6" s="185">
        <v>1693</v>
      </c>
      <c r="N6" s="25">
        <f t="shared" si="3"/>
        <v>0.35085646780862373</v>
      </c>
    </row>
    <row r="7" spans="1:14" ht="14.5" thickBot="1" x14ac:dyDescent="0.3">
      <c r="A7" s="14" t="s">
        <v>4</v>
      </c>
      <c r="B7" s="14">
        <v>61</v>
      </c>
      <c r="C7" s="102"/>
      <c r="D7" s="199">
        <v>50</v>
      </c>
      <c r="E7" s="200"/>
      <c r="F7" s="104"/>
      <c r="G7" s="17">
        <v>50</v>
      </c>
      <c r="H7" s="18"/>
      <c r="I7" s="185">
        <f t="shared" si="0"/>
        <v>61</v>
      </c>
      <c r="J7" s="185">
        <f>50+50</f>
        <v>100</v>
      </c>
      <c r="K7" s="72">
        <f t="shared" si="1"/>
        <v>0.61</v>
      </c>
      <c r="L7" s="183">
        <f t="shared" si="2"/>
        <v>61</v>
      </c>
      <c r="M7" s="187">
        <v>307</v>
      </c>
      <c r="N7" s="26">
        <f t="shared" si="3"/>
        <v>0.1986970684039088</v>
      </c>
    </row>
    <row r="8" spans="1:14" s="64" customFormat="1" ht="14.5" thickBot="1" x14ac:dyDescent="0.3">
      <c r="A8" s="20" t="s">
        <v>7</v>
      </c>
      <c r="B8" s="20">
        <f>SUM(B4:B7)</f>
        <v>2038</v>
      </c>
      <c r="C8" s="92"/>
      <c r="D8" s="68">
        <f>SUM(D4:D7)</f>
        <v>1254</v>
      </c>
      <c r="E8" s="69"/>
      <c r="F8" s="83"/>
      <c r="G8" s="61">
        <f>SUM(G4:G7)</f>
        <v>1254</v>
      </c>
      <c r="H8" s="62"/>
      <c r="I8" s="182">
        <f>SUM(I4:I7)</f>
        <v>2038</v>
      </c>
      <c r="J8" s="182">
        <f>SUM(J4:J7)</f>
        <v>2508</v>
      </c>
      <c r="K8" s="73">
        <f>I8/J8</f>
        <v>0.81259968102073366</v>
      </c>
      <c r="L8" s="188">
        <f>SUM(L4:L7)</f>
        <v>2038</v>
      </c>
      <c r="M8" s="182">
        <f>SUM(M4:M7)</f>
        <v>6857</v>
      </c>
      <c r="N8" s="66">
        <f t="shared" si="3"/>
        <v>0.29721452530261044</v>
      </c>
    </row>
  </sheetData>
  <mergeCells count="6">
    <mergeCell ref="L2:N2"/>
    <mergeCell ref="A1:N1"/>
    <mergeCell ref="I2:K2"/>
    <mergeCell ref="A2:A3"/>
    <mergeCell ref="F2:H2"/>
    <mergeCell ref="C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7C18-2755-4DA4-BAA3-BE8A1FDE0015}">
  <dimension ref="A1:Q19"/>
  <sheetViews>
    <sheetView workbookViewId="0">
      <selection activeCell="L15" sqref="L15"/>
    </sheetView>
  </sheetViews>
  <sheetFormatPr defaultRowHeight="12.5" x14ac:dyDescent="0.25"/>
  <cols>
    <col min="1" max="1" width="17.08984375" style="1" bestFit="1" customWidth="1"/>
    <col min="2" max="2" width="17.08984375" style="1" customWidth="1"/>
    <col min="3" max="5" width="8.7265625" style="1"/>
    <col min="6" max="6" width="10.6328125" style="1" bestFit="1" customWidth="1"/>
    <col min="7" max="10" width="8.7265625" style="1"/>
    <col min="11" max="11" width="7.453125" style="76" bestFit="1" customWidth="1"/>
    <col min="12" max="16384" width="8.7265625" style="1"/>
  </cols>
  <sheetData>
    <row r="1" spans="1:17" ht="14.5" thickBot="1" x14ac:dyDescent="0.3">
      <c r="A1" s="170" t="s">
        <v>17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2"/>
    </row>
    <row r="2" spans="1:17" ht="14.5" thickBot="1" x14ac:dyDescent="0.3">
      <c r="A2" s="137" t="s">
        <v>10</v>
      </c>
      <c r="B2" s="110" t="s">
        <v>22</v>
      </c>
      <c r="C2" s="159" t="s">
        <v>22</v>
      </c>
      <c r="D2" s="158"/>
      <c r="E2" s="160"/>
      <c r="F2" s="142" t="s">
        <v>0</v>
      </c>
      <c r="G2" s="143"/>
      <c r="H2" s="144"/>
      <c r="I2" s="145" t="s">
        <v>26</v>
      </c>
      <c r="J2" s="145"/>
      <c r="K2" s="145"/>
      <c r="L2" s="173" t="s">
        <v>8</v>
      </c>
      <c r="M2" s="147"/>
      <c r="N2" s="148"/>
    </row>
    <row r="3" spans="1:17" ht="14.5" thickBot="1" x14ac:dyDescent="0.3">
      <c r="A3" s="131"/>
      <c r="B3" s="70" t="s">
        <v>12</v>
      </c>
      <c r="C3" s="45" t="s">
        <v>1</v>
      </c>
      <c r="D3" s="46" t="s">
        <v>2</v>
      </c>
      <c r="E3" s="47" t="s">
        <v>3</v>
      </c>
      <c r="F3" s="45" t="s">
        <v>1</v>
      </c>
      <c r="G3" s="46" t="s">
        <v>2</v>
      </c>
      <c r="H3" s="47" t="s">
        <v>3</v>
      </c>
      <c r="I3" s="45" t="s">
        <v>1</v>
      </c>
      <c r="J3" s="46" t="s">
        <v>2</v>
      </c>
      <c r="K3" s="74" t="s">
        <v>3</v>
      </c>
      <c r="L3" s="45" t="s">
        <v>1</v>
      </c>
      <c r="M3" s="48" t="s">
        <v>2</v>
      </c>
      <c r="N3" s="54" t="s">
        <v>3</v>
      </c>
    </row>
    <row r="4" spans="1:17" ht="14" x14ac:dyDescent="0.25">
      <c r="A4" s="3" t="s">
        <v>5</v>
      </c>
      <c r="B4" s="105">
        <v>98</v>
      </c>
      <c r="C4" s="105"/>
      <c r="D4" s="3">
        <v>2</v>
      </c>
      <c r="E4" s="3"/>
      <c r="F4" s="80"/>
      <c r="G4" s="33">
        <v>2</v>
      </c>
      <c r="H4" s="3"/>
      <c r="I4" s="179">
        <f>B4+C4+F4</f>
        <v>98</v>
      </c>
      <c r="J4" s="180">
        <f>I4+4</f>
        <v>102</v>
      </c>
      <c r="K4" s="38">
        <f>II4/J4</f>
        <v>0</v>
      </c>
      <c r="L4" s="179">
        <f>B4</f>
        <v>98</v>
      </c>
      <c r="M4" s="183">
        <v>171</v>
      </c>
      <c r="N4" s="38">
        <f>L4/M4</f>
        <v>0.57309941520467833</v>
      </c>
    </row>
    <row r="5" spans="1:17" ht="14" x14ac:dyDescent="0.25">
      <c r="A5" s="3" t="s">
        <v>9</v>
      </c>
      <c r="B5" s="105">
        <v>75</v>
      </c>
      <c r="C5" s="105"/>
      <c r="D5" s="3">
        <v>6</v>
      </c>
      <c r="E5" s="3"/>
      <c r="F5" s="80"/>
      <c r="G5" s="71">
        <v>6</v>
      </c>
      <c r="H5" s="6"/>
      <c r="I5" s="179">
        <f t="shared" ref="I5:I7" si="0">B5+C5+F5</f>
        <v>75</v>
      </c>
      <c r="J5" s="180">
        <v>75</v>
      </c>
      <c r="K5" s="38">
        <f t="shared" ref="K5:K7" si="1">I5/J5</f>
        <v>1</v>
      </c>
      <c r="L5" s="179">
        <f t="shared" ref="L5:L7" si="2">B5</f>
        <v>75</v>
      </c>
      <c r="M5" s="184">
        <v>105</v>
      </c>
      <c r="N5" s="38">
        <f t="shared" ref="N5:N7" si="3">L5/M5</f>
        <v>0.7142857142857143</v>
      </c>
    </row>
    <row r="6" spans="1:17" ht="14" x14ac:dyDescent="0.25">
      <c r="A6" s="3" t="s">
        <v>4</v>
      </c>
      <c r="B6" s="105">
        <v>20</v>
      </c>
      <c r="C6" s="105"/>
      <c r="D6" s="3">
        <v>1</v>
      </c>
      <c r="E6" s="3"/>
      <c r="F6" s="80"/>
      <c r="G6" s="71">
        <v>1</v>
      </c>
      <c r="H6" s="6"/>
      <c r="I6" s="179">
        <f t="shared" si="0"/>
        <v>20</v>
      </c>
      <c r="J6" s="180">
        <v>32</v>
      </c>
      <c r="K6" s="38">
        <f t="shared" si="1"/>
        <v>0.625</v>
      </c>
      <c r="L6" s="179">
        <f t="shared" si="2"/>
        <v>20</v>
      </c>
      <c r="M6" s="184">
        <v>21</v>
      </c>
      <c r="N6" s="38">
        <f t="shared" si="3"/>
        <v>0.95238095238095233</v>
      </c>
    </row>
    <row r="7" spans="1:17" ht="14.5" thickBot="1" x14ac:dyDescent="0.3">
      <c r="A7" s="30" t="s">
        <v>6</v>
      </c>
      <c r="B7" s="109">
        <v>45</v>
      </c>
      <c r="C7" s="109"/>
      <c r="D7" s="30">
        <v>0</v>
      </c>
      <c r="E7" s="30"/>
      <c r="F7" s="82"/>
      <c r="G7" s="24">
        <v>0</v>
      </c>
      <c r="H7" s="31"/>
      <c r="I7" s="179">
        <f t="shared" si="0"/>
        <v>45</v>
      </c>
      <c r="J7" s="180">
        <v>47</v>
      </c>
      <c r="K7" s="38">
        <f t="shared" si="1"/>
        <v>0.95744680851063835</v>
      </c>
      <c r="L7" s="179">
        <f t="shared" si="2"/>
        <v>45</v>
      </c>
      <c r="M7" s="187">
        <v>108</v>
      </c>
      <c r="N7" s="38">
        <f t="shared" si="3"/>
        <v>0.41666666666666669</v>
      </c>
    </row>
    <row r="8" spans="1:17" s="64" customFormat="1" ht="14.5" thickBot="1" x14ac:dyDescent="0.3">
      <c r="A8" s="21" t="s">
        <v>7</v>
      </c>
      <c r="B8" s="108">
        <f>SUM(B4:B7)</f>
        <v>238</v>
      </c>
      <c r="C8" s="108"/>
      <c r="D8" s="21">
        <f>SUM(D4:D7)</f>
        <v>9</v>
      </c>
      <c r="E8" s="21"/>
      <c r="F8" s="83"/>
      <c r="G8" s="68">
        <f>SUM(G4:G7)</f>
        <v>9</v>
      </c>
      <c r="H8" s="62"/>
      <c r="I8" s="181">
        <f>C8</f>
        <v>0</v>
      </c>
      <c r="J8" s="182">
        <f>SUM(J4:J7)</f>
        <v>256</v>
      </c>
      <c r="K8" s="75">
        <f>I8/J8</f>
        <v>0</v>
      </c>
      <c r="L8" s="191">
        <f>SUM(L4:L7)</f>
        <v>238</v>
      </c>
      <c r="M8" s="192">
        <f>SUM(M4:M7)</f>
        <v>405</v>
      </c>
      <c r="N8" s="67">
        <f t="shared" ref="N8" si="4">L8/M8</f>
        <v>0.58765432098765435</v>
      </c>
    </row>
    <row r="10" spans="1:17" ht="13" thickBot="1" x14ac:dyDescent="0.3"/>
    <row r="11" spans="1:17" ht="14.5" thickBot="1" x14ac:dyDescent="0.3">
      <c r="A11" s="135" t="s">
        <v>18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"/>
    </row>
    <row r="12" spans="1:17" ht="14.5" thickBot="1" x14ac:dyDescent="0.3">
      <c r="A12" s="153" t="s">
        <v>10</v>
      </c>
      <c r="B12" s="93" t="s">
        <v>22</v>
      </c>
      <c r="C12" s="159" t="s">
        <v>29</v>
      </c>
      <c r="D12" s="160"/>
      <c r="E12" s="175" t="s">
        <v>0</v>
      </c>
      <c r="F12" s="176"/>
      <c r="G12" s="177" t="s">
        <v>27</v>
      </c>
      <c r="H12" s="178"/>
      <c r="I12" s="175" t="s">
        <v>8</v>
      </c>
      <c r="J12" s="176"/>
      <c r="K12" s="1"/>
    </row>
    <row r="13" spans="1:17" ht="14.5" thickBot="1" x14ac:dyDescent="0.3">
      <c r="A13" s="174"/>
      <c r="B13" s="93" t="s">
        <v>12</v>
      </c>
      <c r="C13" s="193" t="s">
        <v>12</v>
      </c>
      <c r="D13" s="115" t="s">
        <v>19</v>
      </c>
      <c r="E13" s="116" t="s">
        <v>12</v>
      </c>
      <c r="F13" s="115" t="s">
        <v>19</v>
      </c>
      <c r="G13" s="50" t="s">
        <v>2</v>
      </c>
      <c r="H13" s="39" t="s">
        <v>19</v>
      </c>
      <c r="I13" s="116" t="s">
        <v>12</v>
      </c>
      <c r="J13" s="117" t="s">
        <v>19</v>
      </c>
      <c r="K13" s="1"/>
    </row>
    <row r="14" spans="1:17" ht="14" x14ac:dyDescent="0.25">
      <c r="A14" s="29" t="s">
        <v>5</v>
      </c>
      <c r="B14" s="106"/>
      <c r="C14" s="103"/>
      <c r="D14" s="114">
        <v>0.55000000000000004</v>
      </c>
      <c r="E14" s="120"/>
      <c r="F14" s="113">
        <v>0.56000000000000005</v>
      </c>
      <c r="G14" s="219" t="s">
        <v>24</v>
      </c>
      <c r="H14" s="220">
        <f>F14</f>
        <v>0.56000000000000005</v>
      </c>
      <c r="I14" s="219" t="s">
        <v>24</v>
      </c>
      <c r="J14" s="224">
        <v>1</v>
      </c>
      <c r="K14" s="1"/>
    </row>
    <row r="15" spans="1:17" ht="14" x14ac:dyDescent="0.25">
      <c r="A15" s="8" t="s">
        <v>9</v>
      </c>
      <c r="B15" s="106"/>
      <c r="C15" s="103"/>
      <c r="D15" s="114">
        <v>0.65</v>
      </c>
      <c r="E15" s="121"/>
      <c r="F15" s="111">
        <v>0.71</v>
      </c>
      <c r="G15" s="219" t="s">
        <v>24</v>
      </c>
      <c r="H15" s="221">
        <f t="shared" ref="H15:H17" si="5">F15</f>
        <v>0.71</v>
      </c>
      <c r="I15" s="219" t="s">
        <v>24</v>
      </c>
      <c r="J15" s="225">
        <v>1</v>
      </c>
      <c r="K15" s="1"/>
    </row>
    <row r="16" spans="1:17" ht="14" x14ac:dyDescent="0.25">
      <c r="A16" s="8" t="s">
        <v>4</v>
      </c>
      <c r="B16" s="106"/>
      <c r="C16" s="103"/>
      <c r="D16" s="114">
        <v>0.81</v>
      </c>
      <c r="E16" s="121"/>
      <c r="F16" s="111">
        <v>0.86</v>
      </c>
      <c r="G16" s="219" t="s">
        <v>24</v>
      </c>
      <c r="H16" s="221">
        <f t="shared" si="5"/>
        <v>0.86</v>
      </c>
      <c r="I16" s="219" t="s">
        <v>24</v>
      </c>
      <c r="J16" s="225">
        <v>1</v>
      </c>
      <c r="K16" s="1"/>
    </row>
    <row r="17" spans="1:16" ht="14.5" thickBot="1" x14ac:dyDescent="0.3">
      <c r="A17" s="14" t="s">
        <v>6</v>
      </c>
      <c r="B17" s="107"/>
      <c r="C17" s="104"/>
      <c r="D17" s="114">
        <v>0.42</v>
      </c>
      <c r="E17" s="122"/>
      <c r="F17" s="112">
        <v>0.42</v>
      </c>
      <c r="G17" s="219" t="s">
        <v>24</v>
      </c>
      <c r="H17" s="222">
        <f t="shared" si="5"/>
        <v>0.42</v>
      </c>
      <c r="I17" s="219" t="s">
        <v>24</v>
      </c>
      <c r="J17" s="226">
        <v>1</v>
      </c>
      <c r="K17" s="1"/>
    </row>
    <row r="18" spans="1:16" s="64" customFormat="1" ht="14.5" thickBot="1" x14ac:dyDescent="0.3">
      <c r="A18" s="20" t="s">
        <v>7</v>
      </c>
      <c r="B18" s="119"/>
      <c r="C18" s="84"/>
      <c r="D18" s="23"/>
      <c r="E18" s="123"/>
      <c r="F18" s="125">
        <v>0.57999999999999996</v>
      </c>
      <c r="G18" s="210"/>
      <c r="H18" s="223">
        <f>F18</f>
        <v>0.57999999999999996</v>
      </c>
      <c r="I18" s="227">
        <f>C18</f>
        <v>0</v>
      </c>
      <c r="J18" s="228">
        <v>1</v>
      </c>
    </row>
    <row r="19" spans="1:16" x14ac:dyDescent="0.25">
      <c r="K19" s="77"/>
      <c r="P19" s="37"/>
    </row>
  </sheetData>
  <mergeCells count="12">
    <mergeCell ref="A12:A13"/>
    <mergeCell ref="C12:D12"/>
    <mergeCell ref="A11:J11"/>
    <mergeCell ref="I2:K2"/>
    <mergeCell ref="E12:F12"/>
    <mergeCell ref="G12:H12"/>
    <mergeCell ref="I12:J12"/>
    <mergeCell ref="A1:Q1"/>
    <mergeCell ref="A2:A3"/>
    <mergeCell ref="C2:E2"/>
    <mergeCell ref="F2:H2"/>
    <mergeCell ref="L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FCDA-EAC3-4EAB-B211-71CBDD48D992}">
  <dimension ref="A1:N8"/>
  <sheetViews>
    <sheetView workbookViewId="0">
      <selection activeCell="L17" sqref="L17"/>
    </sheetView>
  </sheetViews>
  <sheetFormatPr defaultRowHeight="12.5" x14ac:dyDescent="0.25"/>
  <cols>
    <col min="1" max="1" width="17.08984375" style="1" bestFit="1" customWidth="1"/>
    <col min="2" max="16384" width="8.7265625" style="1"/>
  </cols>
  <sheetData>
    <row r="1" spans="1:14" ht="14.5" thickBot="1" x14ac:dyDescent="0.3">
      <c r="A1" s="135" t="s">
        <v>32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1:14" ht="14.5" thickBot="1" x14ac:dyDescent="0.3">
      <c r="A2" s="137" t="s">
        <v>10</v>
      </c>
      <c r="B2" s="49" t="s">
        <v>31</v>
      </c>
      <c r="C2" s="159" t="s">
        <v>29</v>
      </c>
      <c r="D2" s="158"/>
      <c r="E2" s="160"/>
      <c r="F2" s="142" t="s">
        <v>0</v>
      </c>
      <c r="G2" s="143"/>
      <c r="H2" s="144"/>
      <c r="I2" s="145" t="s">
        <v>26</v>
      </c>
      <c r="J2" s="145"/>
      <c r="K2" s="145"/>
      <c r="L2" s="146" t="s">
        <v>8</v>
      </c>
      <c r="M2" s="147"/>
      <c r="N2" s="148"/>
    </row>
    <row r="3" spans="1:14" ht="14.5" thickBot="1" x14ac:dyDescent="0.3">
      <c r="A3" s="131"/>
      <c r="B3" s="44" t="s">
        <v>12</v>
      </c>
      <c r="C3" s="45" t="s">
        <v>1</v>
      </c>
      <c r="D3" s="46" t="s">
        <v>2</v>
      </c>
      <c r="E3" s="47" t="s">
        <v>3</v>
      </c>
      <c r="F3" s="45" t="s">
        <v>1</v>
      </c>
      <c r="G3" s="46" t="s">
        <v>2</v>
      </c>
      <c r="H3" s="47" t="s">
        <v>3</v>
      </c>
      <c r="I3" s="53" t="s">
        <v>12</v>
      </c>
      <c r="J3" s="52" t="s">
        <v>19</v>
      </c>
      <c r="K3" s="54" t="s">
        <v>3</v>
      </c>
      <c r="L3" s="48" t="s">
        <v>1</v>
      </c>
      <c r="M3" s="46" t="s">
        <v>2</v>
      </c>
      <c r="N3" s="47" t="s">
        <v>3</v>
      </c>
    </row>
    <row r="4" spans="1:14" ht="14" x14ac:dyDescent="0.25">
      <c r="A4" s="3" t="s">
        <v>5</v>
      </c>
      <c r="B4" s="105">
        <v>0</v>
      </c>
      <c r="C4" s="79"/>
      <c r="D4" s="29">
        <v>0</v>
      </c>
      <c r="E4" s="29"/>
      <c r="F4" s="80"/>
      <c r="G4" s="5">
        <v>0</v>
      </c>
      <c r="H4" s="6"/>
      <c r="I4" s="179">
        <f>B4</f>
        <v>0</v>
      </c>
      <c r="J4" s="180">
        <f>B4+D4+G4</f>
        <v>0</v>
      </c>
      <c r="K4" s="25" t="s">
        <v>28</v>
      </c>
      <c r="L4" s="183">
        <f>B4</f>
        <v>0</v>
      </c>
      <c r="M4" s="180">
        <v>59</v>
      </c>
      <c r="N4" s="25">
        <f>L4/M4</f>
        <v>0</v>
      </c>
    </row>
    <row r="5" spans="1:14" ht="14" x14ac:dyDescent="0.25">
      <c r="A5" s="9" t="s">
        <v>9</v>
      </c>
      <c r="B5" s="106">
        <v>24</v>
      </c>
      <c r="C5" s="101"/>
      <c r="D5" s="8">
        <v>12</v>
      </c>
      <c r="E5" s="8"/>
      <c r="F5" s="103"/>
      <c r="G5" s="11">
        <v>11</v>
      </c>
      <c r="H5" s="12"/>
      <c r="I5" s="179">
        <f t="shared" ref="I5:I7" si="0">B5</f>
        <v>24</v>
      </c>
      <c r="J5" s="180">
        <f t="shared" ref="J5:J7" si="1">B5+D5+G5</f>
        <v>47</v>
      </c>
      <c r="K5" s="25">
        <f t="shared" ref="K5:K6" si="2">I5/J5</f>
        <v>0.51063829787234039</v>
      </c>
      <c r="L5" s="184">
        <f>B5</f>
        <v>24</v>
      </c>
      <c r="M5" s="185">
        <v>52</v>
      </c>
      <c r="N5" s="25">
        <f t="shared" ref="N5:N8" si="3">L5/M5</f>
        <v>0.46153846153846156</v>
      </c>
    </row>
    <row r="6" spans="1:14" ht="14" x14ac:dyDescent="0.25">
      <c r="A6" s="9" t="s">
        <v>4</v>
      </c>
      <c r="B6" s="106">
        <v>7</v>
      </c>
      <c r="C6" s="101"/>
      <c r="D6" s="8">
        <v>0</v>
      </c>
      <c r="E6" s="8"/>
      <c r="F6" s="103"/>
      <c r="G6" s="11">
        <v>0</v>
      </c>
      <c r="H6" s="12"/>
      <c r="I6" s="179">
        <f t="shared" si="0"/>
        <v>7</v>
      </c>
      <c r="J6" s="180">
        <f t="shared" si="1"/>
        <v>7</v>
      </c>
      <c r="K6" s="25">
        <f t="shared" si="2"/>
        <v>1</v>
      </c>
      <c r="L6" s="184">
        <f>B6</f>
        <v>7</v>
      </c>
      <c r="M6" s="185">
        <v>7</v>
      </c>
      <c r="N6" s="25">
        <f t="shared" si="3"/>
        <v>1</v>
      </c>
    </row>
    <row r="7" spans="1:14" ht="14.5" thickBot="1" x14ac:dyDescent="0.3">
      <c r="A7" s="15" t="s">
        <v>6</v>
      </c>
      <c r="B7" s="107">
        <v>32</v>
      </c>
      <c r="C7" s="102"/>
      <c r="D7" s="14">
        <v>5</v>
      </c>
      <c r="E7" s="14"/>
      <c r="F7" s="104"/>
      <c r="G7" s="17">
        <v>5</v>
      </c>
      <c r="H7" s="18"/>
      <c r="I7" s="179">
        <f t="shared" si="0"/>
        <v>32</v>
      </c>
      <c r="J7" s="180">
        <f t="shared" si="1"/>
        <v>42</v>
      </c>
      <c r="K7" s="25">
        <f>I7/J7</f>
        <v>0.76190476190476186</v>
      </c>
      <c r="L7" s="186">
        <f>B7</f>
        <v>32</v>
      </c>
      <c r="M7" s="187">
        <v>37</v>
      </c>
      <c r="N7" s="26">
        <f t="shared" si="3"/>
        <v>0.86486486486486491</v>
      </c>
    </row>
    <row r="8" spans="1:14" s="64" customFormat="1" ht="14.5" thickBot="1" x14ac:dyDescent="0.3">
      <c r="A8" s="21" t="s">
        <v>7</v>
      </c>
      <c r="B8" s="108">
        <f>SUM(B4:B7)</f>
        <v>63</v>
      </c>
      <c r="C8" s="92"/>
      <c r="D8" s="20">
        <f>SUM(D4:D7)</f>
        <v>17</v>
      </c>
      <c r="E8" s="20"/>
      <c r="F8" s="83"/>
      <c r="G8" s="61">
        <f>SUM(G4:G7)</f>
        <v>16</v>
      </c>
      <c r="H8" s="62"/>
      <c r="I8" s="181">
        <f>SUM(I4:I7)</f>
        <v>63</v>
      </c>
      <c r="J8" s="182">
        <f>SUM(J4:J7)</f>
        <v>96</v>
      </c>
      <c r="K8" s="66">
        <f>I8/J8</f>
        <v>0.65625</v>
      </c>
      <c r="L8" s="188">
        <f>B8</f>
        <v>63</v>
      </c>
      <c r="M8" s="182">
        <f>SUM(M4:M7)</f>
        <v>155</v>
      </c>
      <c r="N8" s="66">
        <f t="shared" si="3"/>
        <v>0.40645161290322579</v>
      </c>
    </row>
  </sheetData>
  <mergeCells count="6">
    <mergeCell ref="A2:A3"/>
    <mergeCell ref="F2:H2"/>
    <mergeCell ref="L2:N2"/>
    <mergeCell ref="I2:K2"/>
    <mergeCell ref="A1:N1"/>
    <mergeCell ref="C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521C-D3E5-4778-8433-BDC8F93EC7A8}">
  <dimension ref="A1:D4"/>
  <sheetViews>
    <sheetView tabSelected="1" workbookViewId="0">
      <selection activeCell="G17" sqref="G17"/>
    </sheetView>
  </sheetViews>
  <sheetFormatPr defaultRowHeight="12.5" x14ac:dyDescent="0.25"/>
  <cols>
    <col min="1" max="4" width="14.90625" style="1" customWidth="1"/>
  </cols>
  <sheetData>
    <row r="1" spans="1:4" ht="14.5" thickBot="1" x14ac:dyDescent="0.3">
      <c r="A1" s="135" t="s">
        <v>20</v>
      </c>
      <c r="B1" s="136"/>
      <c r="C1" s="136"/>
      <c r="D1" s="149"/>
    </row>
    <row r="2" spans="1:4" ht="14.5" thickBot="1" x14ac:dyDescent="0.3">
      <c r="A2" s="156" t="s">
        <v>10</v>
      </c>
      <c r="B2" s="142" t="s">
        <v>8</v>
      </c>
      <c r="C2" s="143"/>
      <c r="D2" s="144"/>
    </row>
    <row r="3" spans="1:4" ht="14.5" thickBot="1" x14ac:dyDescent="0.3">
      <c r="A3" s="157"/>
      <c r="B3" s="45" t="s">
        <v>1</v>
      </c>
      <c r="C3" s="46" t="s">
        <v>2</v>
      </c>
      <c r="D3" s="47" t="s">
        <v>3</v>
      </c>
    </row>
    <row r="4" spans="1:4" ht="14.5" thickBot="1" x14ac:dyDescent="0.3">
      <c r="A4" s="28" t="s">
        <v>5</v>
      </c>
      <c r="B4" s="32">
        <v>291</v>
      </c>
      <c r="C4" s="34">
        <v>1869</v>
      </c>
      <c r="D4" s="51">
        <f>B4/C4</f>
        <v>0.15569823434991975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Parivartan- Trucks</vt:lpstr>
      <vt:lpstr>Parivartan - Buses</vt:lpstr>
      <vt:lpstr>APCD</vt:lpstr>
      <vt:lpstr>OCEMS</vt:lpstr>
      <vt:lpstr>Road Remediation </vt:lpstr>
      <vt:lpstr>MRS</vt:lpstr>
      <vt:lpstr>SCC</vt:lpstr>
      <vt:lpstr>ICCC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A-PAG</dc:creator>
  <cp:lastModifiedBy>A-PAG</cp:lastModifiedBy>
  <dcterms:created xsi:type="dcterms:W3CDTF">2026-08-31T13:20:28Z</dcterms:created>
  <dcterms:modified xsi:type="dcterms:W3CDTF">2026-09-07T11:48:22Z</dcterms:modified>
</cp:coreProperties>
</file>