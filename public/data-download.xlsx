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-PAG\Desktop\"/>
    </mc:Choice>
  </mc:AlternateContent>
  <xr:revisionPtr revIDLastSave="0" documentId="8_{59BF308D-FFAC-4BDB-9778-50C8790DBD81}" xr6:coauthVersionLast="47" xr6:coauthVersionMax="47" xr10:uidLastSave="{00000000-0000-0000-0000-000000000000}"/>
  <bookViews>
    <workbookView xWindow="-110" yWindow="-110" windowWidth="19420" windowHeight="11500" tabRatio="850" firstSheet="2" activeTab="4" xr2:uid="{00000000-000D-0000-FFFF-FFFF00000000}"/>
  </bookViews>
  <sheets>
    <sheet name="Parivartan- Trucks  " sheetId="1" r:id="rId1"/>
    <sheet name="Parivartan - Buses" sheetId="2" r:id="rId2"/>
    <sheet name="APCD" sheetId="3" r:id="rId3"/>
    <sheet name="OCEMS" sheetId="7" r:id="rId4"/>
    <sheet name="Road Remediation " sheetId="4" r:id="rId5"/>
    <sheet name="MRS" sheetId="5" r:id="rId6"/>
    <sheet name="SCC" sheetId="6" r:id="rId7"/>
    <sheet name="ICCC" sheetId="8" r:id="rId8"/>
    <sheet name="Greening " sheetId="9" r:id="rId9"/>
  </sheets>
  <calcPr calcId="181029"/>
</workbook>
</file>

<file path=xl/calcChain.xml><?xml version="1.0" encoding="utf-8"?>
<calcChain xmlns="http://schemas.openxmlformats.org/spreadsheetml/2006/main">
  <c r="L18" i="3" l="1"/>
  <c r="M16" i="3"/>
  <c r="M17" i="3"/>
  <c r="M14" i="3"/>
  <c r="B18" i="3"/>
  <c r="I18" i="3" s="1"/>
  <c r="J16" i="3"/>
  <c r="J17" i="3"/>
  <c r="J14" i="3"/>
  <c r="H18" i="3"/>
  <c r="H15" i="3"/>
  <c r="H16" i="3"/>
  <c r="H17" i="3"/>
  <c r="H14" i="3"/>
  <c r="H8" i="6"/>
  <c r="H7" i="6"/>
  <c r="I4" i="5"/>
  <c r="J4" i="5" s="1"/>
  <c r="J5" i="5"/>
  <c r="J6" i="5"/>
  <c r="J7" i="5"/>
  <c r="H8" i="5"/>
  <c r="H5" i="5"/>
  <c r="H6" i="5"/>
  <c r="H7" i="5"/>
  <c r="H4" i="5"/>
  <c r="I8" i="5"/>
  <c r="J8" i="5" s="1"/>
  <c r="H5" i="6"/>
  <c r="H6" i="6"/>
  <c r="F8" i="6"/>
  <c r="F5" i="6"/>
  <c r="F6" i="6"/>
  <c r="F7" i="6"/>
  <c r="F4" i="6"/>
  <c r="G8" i="6"/>
  <c r="J8" i="4"/>
  <c r="J5" i="4"/>
  <c r="J6" i="4"/>
  <c r="J7" i="4"/>
  <c r="J4" i="4"/>
  <c r="H8" i="4"/>
  <c r="H5" i="4"/>
  <c r="H6" i="4"/>
  <c r="H7" i="4"/>
  <c r="H4" i="4"/>
  <c r="I8" i="4"/>
  <c r="I7" i="4"/>
  <c r="I6" i="4"/>
  <c r="I5" i="4"/>
  <c r="I4" i="4"/>
  <c r="H18" i="5"/>
  <c r="H15" i="5"/>
  <c r="H16" i="5"/>
  <c r="H17" i="5"/>
  <c r="H14" i="5"/>
  <c r="J15" i="3"/>
  <c r="I8" i="1"/>
  <c r="I5" i="1"/>
  <c r="I6" i="1"/>
  <c r="I7" i="1"/>
  <c r="I4" i="1"/>
  <c r="I8" i="2"/>
  <c r="I5" i="2"/>
  <c r="I6" i="2"/>
  <c r="I7" i="2"/>
  <c r="I4" i="2"/>
  <c r="K15" i="3"/>
  <c r="K18" i="3" s="1"/>
  <c r="M18" i="3" s="1"/>
  <c r="K16" i="3"/>
  <c r="K17" i="3"/>
  <c r="K14" i="3"/>
  <c r="J8" i="6"/>
  <c r="D4" i="8"/>
  <c r="B8" i="5"/>
  <c r="K8" i="5" s="1"/>
  <c r="K5" i="5"/>
  <c r="M5" i="5" s="1"/>
  <c r="K6" i="5"/>
  <c r="M6" i="5" s="1"/>
  <c r="K7" i="5"/>
  <c r="M7" i="5" s="1"/>
  <c r="K4" i="5"/>
  <c r="M4" i="5" s="1"/>
  <c r="K5" i="4"/>
  <c r="M5" i="4" s="1"/>
  <c r="K6" i="4"/>
  <c r="M6" i="4" s="1"/>
  <c r="K7" i="4"/>
  <c r="M7" i="4" s="1"/>
  <c r="K4" i="4"/>
  <c r="M4" i="4" s="1"/>
  <c r="B8" i="4"/>
  <c r="K8" i="4" s="1"/>
  <c r="I15" i="5"/>
  <c r="I16" i="5"/>
  <c r="I17" i="5"/>
  <c r="I18" i="5"/>
  <c r="I14" i="5"/>
  <c r="I5" i="6"/>
  <c r="K5" i="6" s="1"/>
  <c r="I6" i="6"/>
  <c r="K6" i="6" s="1"/>
  <c r="I7" i="6"/>
  <c r="K7" i="6" s="1"/>
  <c r="I4" i="6"/>
  <c r="K4" i="6" s="1"/>
  <c r="B8" i="6"/>
  <c r="I8" i="6" s="1"/>
  <c r="C8" i="3"/>
  <c r="D8" i="6"/>
  <c r="L8" i="5"/>
  <c r="F8" i="5"/>
  <c r="L8" i="4"/>
  <c r="F8" i="4"/>
  <c r="F18" i="3"/>
  <c r="C17" i="2"/>
  <c r="L8" i="2"/>
  <c r="F8" i="2"/>
  <c r="C8" i="2"/>
  <c r="C17" i="1"/>
  <c r="L8" i="1"/>
  <c r="F8" i="1"/>
  <c r="C8" i="1"/>
  <c r="M15" i="3" l="1"/>
  <c r="J18" i="3"/>
  <c r="K8" i="6"/>
  <c r="M8" i="4"/>
  <c r="M8" i="5"/>
</calcChain>
</file>

<file path=xl/sharedStrings.xml><?xml version="1.0" encoding="utf-8"?>
<sst xmlns="http://schemas.openxmlformats.org/spreadsheetml/2006/main" count="306" uniqueCount="35">
  <si>
    <t xml:space="preserve">September </t>
  </si>
  <si>
    <t>Actual</t>
  </si>
  <si>
    <t>Target</t>
  </si>
  <si>
    <t xml:space="preserve">%age </t>
  </si>
  <si>
    <t xml:space="preserve">Rajasthan </t>
  </si>
  <si>
    <t xml:space="preserve">Till July </t>
  </si>
  <si>
    <t xml:space="preserve">Delhi </t>
  </si>
  <si>
    <t xml:space="preserve">Uttar Pradesh </t>
  </si>
  <si>
    <t>Delhi NCR (Total)</t>
  </si>
  <si>
    <t xml:space="preserve">Aggregate </t>
  </si>
  <si>
    <t xml:space="preserve">Haryana </t>
  </si>
  <si>
    <t xml:space="preserve">Geography </t>
  </si>
  <si>
    <t xml:space="preserve">Pre-BS VI Trucks Converted </t>
  </si>
  <si>
    <t xml:space="preserve">Actual </t>
  </si>
  <si>
    <t xml:space="preserve">Trucks registered on portal </t>
  </si>
  <si>
    <t xml:space="preserve">Pre-BS VI Buses Converted </t>
  </si>
  <si>
    <t xml:space="preserve">Buses registered on portal </t>
  </si>
  <si>
    <t xml:space="preserve">Road length with end-to-end paving completed </t>
  </si>
  <si>
    <t xml:space="preserve">Number of MRS deployed for &gt;10m roads </t>
  </si>
  <si>
    <t xml:space="preserve">Route coverage achieved (%) for &gt;10m roads </t>
  </si>
  <si>
    <t xml:space="preserve">Utar Pradesh </t>
  </si>
  <si>
    <t xml:space="preserve">Target </t>
  </si>
  <si>
    <t xml:space="preserve">Sites compliant with identified interventions </t>
  </si>
  <si>
    <t>Area Greened (in ha)</t>
  </si>
  <si>
    <t xml:space="preserve">Number of SCCs to be Operationalised </t>
  </si>
  <si>
    <t xml:space="preserve">APCD installation completed </t>
  </si>
  <si>
    <t xml:space="preserve">Till date </t>
  </si>
  <si>
    <t>Actual (from API)</t>
  </si>
  <si>
    <t xml:space="preserve">Units with applications submitted on portal </t>
  </si>
  <si>
    <t xml:space="preserve">No data </t>
  </si>
  <si>
    <t>Industries with no red alerts</t>
  </si>
  <si>
    <t xml:space="preserve">Cumulative </t>
  </si>
  <si>
    <t xml:space="preserve">Cumulative  </t>
  </si>
  <si>
    <t>No data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</si>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</sst>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1"/>
      <color rgb="FF000000"/>
      <name val="Arial"/>
      <family val="2"/>
      <scheme val="major"/>
    </font>
    <font>
      <sz val="11"/>
      <color rgb="FF000000"/>
      <name val="Arial"/>
      <family val="2"/>
      <scheme val="major"/>
    </font>
    <font>
      <b/>
      <sz val="11"/>
      <color theme="1"/>
      <name val="Arial"/>
      <family val="2"/>
      <scheme val="major"/>
    </font>
    <font>
      <b/>
      <sz val="11"/>
      <name val="Arial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8">
    <xf numFmtId="0" fontId="0" fillId="0" borderId="0" xfId="0"/>
    <xf numFmtId="0" fontId="0" fillId="0" borderId="0" xfId="0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5" fillId="0" borderId="17" xfId="1" applyFont="1" applyBorder="1" applyAlignment="1">
      <alignment horizontal="center" vertical="center"/>
    </xf>
    <xf numFmtId="9" fontId="5" fillId="0" borderId="56" xfId="1" applyFont="1" applyBorder="1" applyAlignment="1">
      <alignment horizontal="center" vertical="center"/>
    </xf>
    <xf numFmtId="0" fontId="5" fillId="0" borderId="49" xfId="0" applyFont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64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5" fillId="0" borderId="54" xfId="0" applyFont="1" applyBorder="1" applyAlignment="1">
      <alignment horizontal="center" vertical="center"/>
    </xf>
    <xf numFmtId="0" fontId="4" fillId="2" borderId="35" xfId="0" applyFont="1" applyFill="1" applyBorder="1" applyAlignment="1">
      <alignment vertical="center"/>
    </xf>
    <xf numFmtId="0" fontId="5" fillId="0" borderId="65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5" fillId="0" borderId="51" xfId="0" applyNumberFormat="1" applyFont="1" applyBorder="1" applyAlignment="1">
      <alignment horizontal="center" vertical="center"/>
    </xf>
    <xf numFmtId="9" fontId="5" fillId="0" borderId="51" xfId="1" applyFont="1" applyBorder="1" applyAlignment="1">
      <alignment horizontal="center" vertical="center"/>
    </xf>
    <xf numFmtId="0" fontId="6" fillId="3" borderId="41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4" fillId="3" borderId="47" xfId="0" applyFont="1" applyFill="1" applyBorder="1" applyAlignment="1">
      <alignment horizontal="center" vertical="center"/>
    </xf>
    <xf numFmtId="0" fontId="6" fillId="3" borderId="63" xfId="0" applyFont="1" applyFill="1" applyBorder="1" applyAlignment="1">
      <alignment horizontal="center" vertical="center"/>
    </xf>
    <xf numFmtId="0" fontId="6" fillId="3" borderId="54" xfId="0" applyFont="1" applyFill="1" applyBorder="1" applyAlignment="1">
      <alignment horizontal="center" vertical="center"/>
    </xf>
    <xf numFmtId="0" fontId="6" fillId="3" borderId="62" xfId="0" applyFont="1" applyFill="1" applyBorder="1" applyAlignment="1">
      <alignment horizontal="center" vertical="center"/>
    </xf>
    <xf numFmtId="0" fontId="6" fillId="3" borderId="50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21" xfId="0" applyFont="1" applyFill="1" applyBorder="1" applyAlignment="1">
      <alignment horizontal="center" vertical="center"/>
    </xf>
    <xf numFmtId="9" fontId="5" fillId="0" borderId="62" xfId="1" applyFont="1" applyBorder="1" applyAlignment="1">
      <alignment horizontal="center" vertical="center"/>
    </xf>
    <xf numFmtId="0" fontId="6" fillId="3" borderId="43" xfId="0" applyFont="1" applyFill="1" applyBorder="1" applyAlignment="1">
      <alignment horizontal="center" vertical="center"/>
    </xf>
    <xf numFmtId="0" fontId="6" fillId="3" borderId="45" xfId="0" applyFont="1" applyFill="1" applyBorder="1" applyAlignment="1">
      <alignment horizontal="center" vertical="center"/>
    </xf>
    <xf numFmtId="0" fontId="6" fillId="3" borderId="44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62" xfId="0" applyFont="1" applyFill="1" applyBorder="1" applyAlignment="1">
      <alignment horizontal="center" vertical="center"/>
    </xf>
    <xf numFmtId="0" fontId="3" fillId="3" borderId="50" xfId="0" applyFont="1" applyFill="1" applyBorder="1" applyAlignment="1">
      <alignment horizontal="center" vertical="center"/>
    </xf>
    <xf numFmtId="0" fontId="6" fillId="3" borderId="22" xfId="0" applyFont="1" applyFill="1" applyBorder="1" applyAlignment="1">
      <alignment horizontal="center" vertical="center"/>
    </xf>
    <xf numFmtId="0" fontId="6" fillId="3" borderId="23" xfId="0" applyFont="1" applyFill="1" applyBorder="1" applyAlignment="1">
      <alignment horizontal="center" vertical="center"/>
    </xf>
    <xf numFmtId="0" fontId="6" fillId="3" borderId="35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23" xfId="1" applyFont="1" applyBorder="1" applyAlignment="1">
      <alignment horizontal="center" vertical="center"/>
    </xf>
    <xf numFmtId="9" fontId="4" fillId="0" borderId="2" xfId="1" applyFont="1" applyBorder="1" applyAlignment="1">
      <alignment horizontal="center" vertical="center"/>
    </xf>
    <xf numFmtId="9" fontId="4" fillId="0" borderId="41" xfId="0" applyNumberFormat="1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0" fontId="4" fillId="4" borderId="39" xfId="0" applyFont="1" applyFill="1" applyBorder="1" applyAlignment="1">
      <alignment horizontal="center" vertical="center"/>
    </xf>
    <xf numFmtId="0" fontId="4" fillId="4" borderId="40" xfId="0" applyFont="1" applyFill="1" applyBorder="1" applyAlignment="1">
      <alignment horizontal="center" vertical="center"/>
    </xf>
    <xf numFmtId="0" fontId="4" fillId="4" borderId="4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4" fillId="2" borderId="39" xfId="0" applyFont="1" applyFill="1" applyBorder="1" applyAlignment="1">
      <alignment horizontal="center" vertical="center"/>
    </xf>
    <xf numFmtId="0" fontId="4" fillId="2" borderId="40" xfId="0" applyFont="1" applyFill="1" applyBorder="1" applyAlignment="1">
      <alignment horizontal="center" vertical="center"/>
    </xf>
    <xf numFmtId="0" fontId="4" fillId="3" borderId="30" xfId="0" applyFont="1" applyFill="1" applyBorder="1" applyAlignment="1">
      <alignment horizontal="center" vertical="center"/>
    </xf>
    <xf numFmtId="0" fontId="4" fillId="3" borderId="20" xfId="0" applyFont="1" applyFill="1" applyBorder="1" applyAlignment="1">
      <alignment horizontal="center" vertical="center"/>
    </xf>
    <xf numFmtId="0" fontId="4" fillId="3" borderId="49" xfId="0" applyFont="1" applyFill="1" applyBorder="1" applyAlignment="1">
      <alignment horizontal="center" vertical="center"/>
    </xf>
    <xf numFmtId="0" fontId="4" fillId="3" borderId="55" xfId="0" applyFont="1" applyFill="1" applyBorder="1" applyAlignment="1">
      <alignment horizontal="center" vertical="center"/>
    </xf>
    <xf numFmtId="0" fontId="4" fillId="3" borderId="56" xfId="0" applyFont="1" applyFill="1" applyBorder="1" applyAlignment="1">
      <alignment horizontal="center" vertical="center"/>
    </xf>
    <xf numFmtId="0" fontId="6" fillId="3" borderId="21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/>
    </xf>
    <xf numFmtId="0" fontId="4" fillId="3" borderId="2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3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4" fillId="3" borderId="3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58" xfId="0" applyFont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60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41" xfId="0" applyFont="1" applyFill="1" applyBorder="1" applyAlignment="1">
      <alignment horizontal="center" vertical="center"/>
    </xf>
    <xf numFmtId="0" fontId="6" fillId="3" borderId="45" xfId="0" applyFont="1" applyFill="1" applyBorder="1" applyAlignment="1">
      <alignment horizontal="center" vertical="center"/>
    </xf>
    <xf numFmtId="0" fontId="6" fillId="3" borderId="43" xfId="0" applyFont="1" applyFill="1" applyBorder="1" applyAlignment="1">
      <alignment horizontal="center" vertical="center"/>
    </xf>
    <xf numFmtId="0" fontId="6" fillId="3" borderId="44" xfId="0" applyFont="1" applyFill="1" applyBorder="1" applyAlignment="1">
      <alignment horizontal="center" vertical="center"/>
    </xf>
    <xf numFmtId="0" fontId="4" fillId="3" borderId="26" xfId="0" applyFont="1" applyFill="1" applyBorder="1" applyAlignment="1">
      <alignment horizontal="center" vertical="center"/>
    </xf>
    <xf numFmtId="0" fontId="4" fillId="3" borderId="28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48" xfId="0" applyFont="1" applyFill="1" applyBorder="1" applyAlignment="1">
      <alignment horizontal="center" vertical="center"/>
    </xf>
    <xf numFmtId="0" fontId="6" fillId="3" borderId="57" xfId="0" applyFont="1" applyFill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3" fillId="3" borderId="39" xfId="0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0" fontId="7" fillId="3" borderId="39" xfId="0" applyFont="1" applyFill="1" applyBorder="1" applyAlignment="1">
      <alignment horizontal="center" vertical="center"/>
    </xf>
    <xf numFmtId="0" fontId="7" fillId="3" borderId="41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6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3" borderId="39" xfId="0" applyFont="1" applyFill="1" applyBorder="1" applyAlignment="1">
      <alignment horizontal="center" vertical="center"/>
    </xf>
    <xf numFmtId="0" fontId="6" fillId="3" borderId="40" xfId="0" applyFont="1" applyFill="1" applyBorder="1" applyAlignment="1">
      <alignment horizontal="center" vertical="center"/>
    </xf>
    <xf numFmtId="0" fontId="6" fillId="3" borderId="41" xfId="0" applyFont="1" applyFill="1" applyBorder="1" applyAlignment="1">
      <alignment horizontal="center" vertical="center"/>
    </xf>
    <xf numFmtId="0" fontId="4" fillId="3" borderId="45" xfId="0" applyFont="1" applyFill="1" applyBorder="1" applyAlignment="1">
      <alignment horizontal="center" vertical="center"/>
    </xf>
    <xf numFmtId="0" fontId="4" fillId="3" borderId="43" xfId="0" applyFont="1" applyFill="1" applyBorder="1" applyAlignment="1">
      <alignment horizontal="center" vertical="center"/>
    </xf>
    <xf numFmtId="0" fontId="4" fillId="3" borderId="44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/>
    </xf>
    <xf numFmtId="0" fontId="4" fillId="2" borderId="61" xfId="0" applyFont="1" applyFill="1" applyBorder="1" applyAlignment="1">
      <alignment horizontal="center" vertical="center"/>
    </xf>
    <xf numFmtId="0" fontId="4" fillId="2" borderId="52" xfId="0" applyFont="1" applyFill="1" applyBorder="1" applyAlignment="1">
      <alignment horizontal="center" vertical="center"/>
    </xf>
    <xf numFmtId="0" fontId="4" fillId="2" borderId="32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16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33" xfId="0" applyFont="1" applyFill="1" applyBorder="1" applyAlignment="1">
      <alignment horizontal="center" vertical="center"/>
    </xf>
    <xf numFmtId="0" fontId="4" fillId="0" borderId="2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51" xfId="0" applyFont="1" applyFill="1" applyBorder="1" applyAlignment="1">
      <alignment horizontal="center" vertical="center"/>
    </xf>
    <xf numFmtId="0" fontId="5" fillId="0" borderId="11" xfId="0" applyFont="1" applyFill="1" applyBorder="1" applyAlignment="1">
      <alignment horizontal="center" vertical="center"/>
    </xf>
    <xf numFmtId="0" fontId="4" fillId="0" borderId="40" xfId="0" applyFont="1" applyFill="1" applyBorder="1" applyAlignment="1">
      <alignment horizontal="center" vertical="center"/>
    </xf>
    <xf numFmtId="0" fontId="5" fillId="0" borderId="29" xfId="0" applyFont="1" applyFill="1" applyBorder="1" applyAlignment="1">
      <alignment horizontal="center" vertical="center"/>
    </xf>
    <xf numFmtId="0" fontId="5" fillId="0" borderId="12" xfId="0" applyFont="1" applyFill="1" applyBorder="1" applyAlignment="1">
      <alignment horizontal="center" vertical="center"/>
    </xf>
    <xf numFmtId="0" fontId="4" fillId="0" borderId="23" xfId="0" applyFont="1" applyFill="1" applyBorder="1" applyAlignment="1">
      <alignment horizontal="center" vertical="center"/>
    </xf>
    <xf numFmtId="9" fontId="0" fillId="0" borderId="17" xfId="0" applyNumberFormat="1" applyFill="1" applyBorder="1" applyAlignment="1">
      <alignment horizontal="center" vertical="center"/>
    </xf>
    <xf numFmtId="9" fontId="0" fillId="0" borderId="7" xfId="0" applyNumberFormat="1" applyFill="1" applyBorder="1" applyAlignment="1">
      <alignment horizontal="center" vertical="center"/>
    </xf>
    <xf numFmtId="9" fontId="0" fillId="0" borderId="34" xfId="0" applyNumberFormat="1" applyFill="1" applyBorder="1" applyAlignment="1">
      <alignment horizontal="center" vertical="center"/>
    </xf>
    <xf numFmtId="9" fontId="3" fillId="0" borderId="23" xfId="0" applyNumberFormat="1" applyFont="1" applyFill="1" applyBorder="1" applyAlignment="1">
      <alignment horizontal="center" vertical="center"/>
    </xf>
    <xf numFmtId="9" fontId="5" fillId="0" borderId="12" xfId="1" applyFont="1" applyBorder="1" applyAlignment="1">
      <alignment horizontal="center" vertical="center"/>
    </xf>
    <xf numFmtId="9" fontId="4" fillId="0" borderId="35" xfId="1" applyFont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5" borderId="55" xfId="0" applyFont="1" applyFill="1" applyBorder="1" applyAlignment="1">
      <alignment horizontal="center" vertical="center"/>
    </xf>
    <xf numFmtId="0" fontId="4" fillId="5" borderId="22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/>
    </xf>
    <xf numFmtId="0" fontId="4" fillId="5" borderId="21" xfId="0" applyFont="1" applyFill="1" applyBorder="1" applyAlignment="1">
      <alignment horizontal="center" vertical="center"/>
    </xf>
    <xf numFmtId="9" fontId="6" fillId="3" borderId="44" xfId="1" applyFont="1" applyFill="1" applyBorder="1" applyAlignment="1">
      <alignment horizontal="center" vertical="center"/>
    </xf>
    <xf numFmtId="9" fontId="4" fillId="0" borderId="41" xfId="1" applyFont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3" fillId="3" borderId="62" xfId="1" applyFont="1" applyFill="1" applyBorder="1" applyAlignment="1">
      <alignment horizontal="center" vertical="center"/>
    </xf>
    <xf numFmtId="9" fontId="0" fillId="0" borderId="17" xfId="1" applyFont="1" applyFill="1" applyBorder="1" applyAlignment="1">
      <alignment horizontal="center" vertical="center"/>
    </xf>
    <xf numFmtId="9" fontId="0" fillId="0" borderId="5" xfId="1" applyFont="1" applyFill="1" applyBorder="1" applyAlignment="1">
      <alignment horizontal="center" vertical="center"/>
    </xf>
    <xf numFmtId="9" fontId="0" fillId="0" borderId="53" xfId="1" applyFont="1" applyFill="1" applyBorder="1" applyAlignment="1">
      <alignment horizontal="center" vertical="center"/>
    </xf>
    <xf numFmtId="9" fontId="3" fillId="0" borderId="23" xfId="1" applyFont="1" applyFill="1" applyBorder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51" xfId="0" applyFont="1" applyFill="1" applyBorder="1" applyAlignment="1">
      <alignment horizontal="center" vertical="center"/>
    </xf>
    <xf numFmtId="0" fontId="5" fillId="5" borderId="27" xfId="0" applyFont="1" applyFill="1" applyBorder="1" applyAlignment="1">
      <alignment horizontal="center" vertical="center"/>
    </xf>
    <xf numFmtId="0" fontId="5" fillId="5" borderId="58" xfId="0" applyFont="1" applyFill="1" applyBorder="1" applyAlignment="1">
      <alignment horizontal="center" vertical="center"/>
    </xf>
    <xf numFmtId="0" fontId="5" fillId="5" borderId="59" xfId="0" applyFont="1" applyFill="1" applyBorder="1" applyAlignment="1">
      <alignment horizontal="center" vertical="center"/>
    </xf>
    <xf numFmtId="0" fontId="5" fillId="5" borderId="25" xfId="0" applyFont="1" applyFill="1" applyBorder="1" applyAlignment="1">
      <alignment horizontal="center" vertical="center"/>
    </xf>
    <xf numFmtId="0" fontId="5" fillId="5" borderId="52" xfId="0" applyFont="1" applyFill="1" applyBorder="1" applyAlignment="1">
      <alignment horizontal="center" vertical="center"/>
    </xf>
    <xf numFmtId="0" fontId="5" fillId="5" borderId="60" xfId="0" applyFont="1" applyFill="1" applyBorder="1" applyAlignment="1">
      <alignment horizontal="center" vertical="center"/>
    </xf>
    <xf numFmtId="0" fontId="4" fillId="5" borderId="39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5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7"/>
  <sheetViews>
    <sheetView topLeftCell="B1" workbookViewId="0">
      <selection activeCell="D19" sqref="D19"/>
    </sheetView>
  </sheetViews>
  <sheetFormatPr defaultColWidth="12.6328125" defaultRowHeight="15.75" customHeight="1" x14ac:dyDescent="0.25"/>
  <cols>
    <col min="1" max="1" width="17.08984375" style="26" bestFit="1" customWidth="1"/>
    <col min="2" max="2" width="8.36328125" style="26" bestFit="1" customWidth="1"/>
    <col min="3" max="4" width="7.36328125" style="26" bestFit="1" customWidth="1"/>
    <col min="5" max="5" width="7.81640625" style="26" bestFit="1" customWidth="1"/>
    <col min="6" max="6" width="6.6328125" style="26" bestFit="1" customWidth="1"/>
    <col min="7" max="7" width="6.90625" style="26" bestFit="1" customWidth="1"/>
    <col min="8" max="9" width="10.36328125" style="26" customWidth="1"/>
    <col min="10" max="10" width="6.36328125" style="26" bestFit="1" customWidth="1"/>
    <col min="11" max="11" width="8.36328125" style="26" bestFit="1" customWidth="1"/>
    <col min="12" max="12" width="7.36328125" style="26" bestFit="1" customWidth="1"/>
    <col min="13" max="13" width="6.453125" style="26" bestFit="1" customWidth="1"/>
    <col min="14" max="14" width="6.36328125" style="26" bestFit="1" customWidth="1"/>
    <col min="15" max="16384" width="12.6328125" style="26"/>
  </cols>
  <sheetData>
    <row r="1" spans="1:13" ht="15.75" customHeight="1" thickBot="1" x14ac:dyDescent="0.3">
      <c r="A1" s="87" t="s">
        <v>12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40"/>
    </row>
    <row r="2" spans="1:13" ht="15.75" customHeight="1" thickBot="1" x14ac:dyDescent="0.3">
      <c r="A2" s="97" t="s">
        <v>11</v>
      </c>
      <c r="B2" s="94" t="s">
        <v>26</v>
      </c>
      <c r="C2" s="95"/>
      <c r="D2" s="96"/>
      <c r="E2" s="94" t="s">
        <v>0</v>
      </c>
      <c r="F2" s="95"/>
      <c r="G2" s="96"/>
      <c r="H2" s="86" t="s">
        <v>31</v>
      </c>
      <c r="I2" s="86"/>
      <c r="J2" s="86"/>
      <c r="K2" s="99" t="s">
        <v>9</v>
      </c>
      <c r="L2" s="100"/>
      <c r="M2" s="101"/>
    </row>
    <row r="3" spans="1:13" ht="14.5" thickBot="1" x14ac:dyDescent="0.3">
      <c r="A3" s="98"/>
      <c r="B3" s="57" t="s">
        <v>1</v>
      </c>
      <c r="C3" s="67" t="s">
        <v>2</v>
      </c>
      <c r="D3" s="68" t="s">
        <v>3</v>
      </c>
      <c r="E3" s="57" t="s">
        <v>1</v>
      </c>
      <c r="F3" s="67" t="s">
        <v>2</v>
      </c>
      <c r="G3" s="68" t="s">
        <v>3</v>
      </c>
      <c r="H3" s="57" t="s">
        <v>1</v>
      </c>
      <c r="I3" s="67" t="s">
        <v>2</v>
      </c>
      <c r="J3" s="46" t="s">
        <v>3</v>
      </c>
      <c r="K3" s="69" t="s">
        <v>1</v>
      </c>
      <c r="L3" s="67" t="s">
        <v>2</v>
      </c>
      <c r="M3" s="68" t="s">
        <v>3</v>
      </c>
    </row>
    <row r="4" spans="1:13" ht="15.75" customHeight="1" x14ac:dyDescent="0.25">
      <c r="A4" s="2" t="s">
        <v>6</v>
      </c>
      <c r="B4" s="4" t="s">
        <v>29</v>
      </c>
      <c r="C4" s="5">
        <v>1276</v>
      </c>
      <c r="D4" s="6"/>
      <c r="E4" s="4" t="s">
        <v>33</v>
      </c>
      <c r="F4" s="154">
        <v>1914</v>
      </c>
      <c r="G4" s="6"/>
      <c r="H4" s="4" t="s">
        <v>29</v>
      </c>
      <c r="I4" s="171">
        <f>C4+F4</f>
        <v>3190</v>
      </c>
      <c r="J4" s="38"/>
      <c r="K4" s="4" t="s">
        <v>29</v>
      </c>
      <c r="L4" s="154">
        <v>63795</v>
      </c>
      <c r="M4" s="6"/>
    </row>
    <row r="5" spans="1:13" ht="15.75" customHeight="1" x14ac:dyDescent="0.25">
      <c r="A5" s="8" t="s">
        <v>10</v>
      </c>
      <c r="B5" s="4" t="s">
        <v>29</v>
      </c>
      <c r="C5" s="11">
        <v>1751</v>
      </c>
      <c r="D5" s="12"/>
      <c r="E5" s="4" t="s">
        <v>29</v>
      </c>
      <c r="F5" s="155">
        <v>2627</v>
      </c>
      <c r="G5" s="12"/>
      <c r="H5" s="4" t="s">
        <v>29</v>
      </c>
      <c r="I5" s="171">
        <f t="shared" ref="I5:I7" si="0">C5+F5</f>
        <v>4378</v>
      </c>
      <c r="J5" s="38"/>
      <c r="K5" s="4" t="s">
        <v>29</v>
      </c>
      <c r="L5" s="155">
        <v>87554</v>
      </c>
      <c r="M5" s="12"/>
    </row>
    <row r="6" spans="1:13" ht="15.75" customHeight="1" x14ac:dyDescent="0.25">
      <c r="A6" s="8" t="s">
        <v>4</v>
      </c>
      <c r="B6" s="4" t="s">
        <v>29</v>
      </c>
      <c r="C6" s="11">
        <v>140</v>
      </c>
      <c r="D6" s="12"/>
      <c r="E6" s="4" t="s">
        <v>29</v>
      </c>
      <c r="F6" s="155">
        <v>210</v>
      </c>
      <c r="G6" s="12"/>
      <c r="H6" s="4" t="s">
        <v>29</v>
      </c>
      <c r="I6" s="171">
        <f t="shared" si="0"/>
        <v>350</v>
      </c>
      <c r="J6" s="30"/>
      <c r="K6" s="4" t="s">
        <v>29</v>
      </c>
      <c r="L6" s="155">
        <v>6997</v>
      </c>
      <c r="M6" s="12"/>
    </row>
    <row r="7" spans="1:13" ht="15.75" customHeight="1" thickBot="1" x14ac:dyDescent="0.3">
      <c r="A7" s="14" t="s">
        <v>7</v>
      </c>
      <c r="B7" s="41" t="s">
        <v>29</v>
      </c>
      <c r="C7" s="17">
        <v>658</v>
      </c>
      <c r="D7" s="18"/>
      <c r="E7" s="41" t="s">
        <v>29</v>
      </c>
      <c r="F7" s="156">
        <v>987</v>
      </c>
      <c r="G7" s="18"/>
      <c r="H7" s="41" t="s">
        <v>29</v>
      </c>
      <c r="I7" s="172">
        <f t="shared" si="0"/>
        <v>1645</v>
      </c>
      <c r="J7" s="42"/>
      <c r="K7" s="41" t="s">
        <v>29</v>
      </c>
      <c r="L7" s="156">
        <v>32893</v>
      </c>
      <c r="M7" s="18"/>
    </row>
    <row r="8" spans="1:13" ht="15.75" customHeight="1" thickBot="1" x14ac:dyDescent="0.3">
      <c r="A8" s="70" t="s">
        <v>8</v>
      </c>
      <c r="B8" s="153" t="s">
        <v>29</v>
      </c>
      <c r="C8" s="71">
        <f>SUM(C4:C7)</f>
        <v>3825</v>
      </c>
      <c r="D8" s="71"/>
      <c r="E8" s="153" t="s">
        <v>29</v>
      </c>
      <c r="F8" s="157">
        <f>SUM(F4:F7)</f>
        <v>5738</v>
      </c>
      <c r="G8" s="71"/>
      <c r="H8" s="153" t="s">
        <v>29</v>
      </c>
      <c r="I8" s="173">
        <f>C8+F8</f>
        <v>9563</v>
      </c>
      <c r="J8" s="71"/>
      <c r="K8" s="153" t="s">
        <v>29</v>
      </c>
      <c r="L8" s="157">
        <f>SUM(L4:L7)</f>
        <v>191239</v>
      </c>
      <c r="M8" s="72"/>
    </row>
    <row r="9" spans="1:13" ht="15.75" customHeight="1" thickBot="1" x14ac:dyDescent="0.3"/>
    <row r="10" spans="1:13" ht="15.75" customHeight="1" thickBot="1" x14ac:dyDescent="0.3">
      <c r="A10" s="83" t="s">
        <v>14</v>
      </c>
      <c r="B10" s="84"/>
      <c r="C10" s="84"/>
      <c r="D10" s="85"/>
    </row>
    <row r="11" spans="1:13" ht="15.75" customHeight="1" thickBot="1" x14ac:dyDescent="0.3">
      <c r="A11" s="89" t="s">
        <v>11</v>
      </c>
      <c r="B11" s="91" t="s">
        <v>9</v>
      </c>
      <c r="C11" s="92"/>
      <c r="D11" s="93"/>
    </row>
    <row r="12" spans="1:13" ht="15.75" customHeight="1" thickBot="1" x14ac:dyDescent="0.3">
      <c r="A12" s="90"/>
      <c r="B12" s="69" t="s">
        <v>1</v>
      </c>
      <c r="C12" s="67" t="s">
        <v>2</v>
      </c>
      <c r="D12" s="68" t="s">
        <v>3</v>
      </c>
    </row>
    <row r="13" spans="1:13" ht="15.75" customHeight="1" x14ac:dyDescent="0.25">
      <c r="A13" s="3" t="s">
        <v>6</v>
      </c>
      <c r="B13" s="4" t="s">
        <v>29</v>
      </c>
      <c r="C13" s="154">
        <v>63795</v>
      </c>
      <c r="D13" s="6"/>
    </row>
    <row r="14" spans="1:13" ht="15.75" customHeight="1" x14ac:dyDescent="0.25">
      <c r="A14" s="9" t="s">
        <v>10</v>
      </c>
      <c r="B14" s="4" t="s">
        <v>29</v>
      </c>
      <c r="C14" s="155">
        <v>87554</v>
      </c>
      <c r="D14" s="12"/>
    </row>
    <row r="15" spans="1:13" ht="15.75" customHeight="1" x14ac:dyDescent="0.25">
      <c r="A15" s="9" t="s">
        <v>4</v>
      </c>
      <c r="B15" s="4" t="s">
        <v>29</v>
      </c>
      <c r="C15" s="155">
        <v>6997</v>
      </c>
      <c r="D15" s="12"/>
    </row>
    <row r="16" spans="1:13" ht="15.75" customHeight="1" thickBot="1" x14ac:dyDescent="0.3">
      <c r="A16" s="15" t="s">
        <v>7</v>
      </c>
      <c r="B16" s="41" t="s">
        <v>29</v>
      </c>
      <c r="C16" s="156">
        <v>32893</v>
      </c>
      <c r="D16" s="18"/>
    </row>
    <row r="17" spans="1:4" ht="15.75" customHeight="1" thickBot="1" x14ac:dyDescent="0.3">
      <c r="A17" s="21" t="s">
        <v>8</v>
      </c>
      <c r="B17" s="22" t="s">
        <v>29</v>
      </c>
      <c r="C17" s="157">
        <f>SUM(C13:C16)</f>
        <v>191239</v>
      </c>
      <c r="D17" s="23"/>
    </row>
  </sheetData>
  <mergeCells count="9">
    <mergeCell ref="A10:D10"/>
    <mergeCell ref="H2:J2"/>
    <mergeCell ref="A1:L1"/>
    <mergeCell ref="A11:A12"/>
    <mergeCell ref="B11:D11"/>
    <mergeCell ref="B2:D2"/>
    <mergeCell ref="A2:A3"/>
    <mergeCell ref="K2:M2"/>
    <mergeCell ref="E2:G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C69AD-B52C-4F2E-81B9-5F90088E9BE9}">
  <dimension ref="A1:N17"/>
  <sheetViews>
    <sheetView topLeftCell="B1" workbookViewId="0">
      <selection activeCell="I4" sqref="I4:I8"/>
    </sheetView>
  </sheetViews>
  <sheetFormatPr defaultRowHeight="12.5" x14ac:dyDescent="0.25"/>
  <cols>
    <col min="1" max="1" width="17.08984375" style="1" bestFit="1" customWidth="1"/>
    <col min="2" max="16384" width="8.7265625" style="1"/>
  </cols>
  <sheetData>
    <row r="1" spans="1:14" ht="14.5" thickBot="1" x14ac:dyDescent="0.3">
      <c r="A1" s="87" t="s">
        <v>15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106"/>
    </row>
    <row r="2" spans="1:14" ht="14.5" thickBot="1" x14ac:dyDescent="0.3">
      <c r="A2" s="102" t="s">
        <v>11</v>
      </c>
      <c r="B2" s="94" t="s">
        <v>26</v>
      </c>
      <c r="C2" s="95"/>
      <c r="D2" s="96"/>
      <c r="E2" s="94" t="s">
        <v>0</v>
      </c>
      <c r="F2" s="95"/>
      <c r="G2" s="96"/>
      <c r="H2" s="86" t="s">
        <v>31</v>
      </c>
      <c r="I2" s="86"/>
      <c r="J2" s="86"/>
      <c r="K2" s="99" t="s">
        <v>9</v>
      </c>
      <c r="L2" s="100"/>
      <c r="M2" s="101"/>
    </row>
    <row r="3" spans="1:14" ht="14.5" thickBot="1" x14ac:dyDescent="0.3">
      <c r="A3" s="90"/>
      <c r="B3" s="52" t="s">
        <v>1</v>
      </c>
      <c r="C3" s="53" t="s">
        <v>2</v>
      </c>
      <c r="D3" s="54" t="s">
        <v>3</v>
      </c>
      <c r="E3" s="52" t="s">
        <v>1</v>
      </c>
      <c r="F3" s="53" t="s">
        <v>2</v>
      </c>
      <c r="G3" s="54" t="s">
        <v>3</v>
      </c>
      <c r="H3" s="53" t="s">
        <v>1</v>
      </c>
      <c r="I3" s="53" t="s">
        <v>2</v>
      </c>
      <c r="J3" s="55" t="s">
        <v>3</v>
      </c>
      <c r="K3" s="55" t="s">
        <v>1</v>
      </c>
      <c r="L3" s="53" t="s">
        <v>2</v>
      </c>
      <c r="M3" s="54" t="s">
        <v>3</v>
      </c>
    </row>
    <row r="4" spans="1:14" ht="14" x14ac:dyDescent="0.25">
      <c r="A4" s="3" t="s">
        <v>6</v>
      </c>
      <c r="B4" s="4" t="s">
        <v>29</v>
      </c>
      <c r="C4" s="5">
        <v>0</v>
      </c>
      <c r="D4" s="6"/>
      <c r="E4" s="4" t="s">
        <v>33</v>
      </c>
      <c r="F4" s="154">
        <v>0</v>
      </c>
      <c r="G4" s="6"/>
      <c r="H4" s="4" t="s">
        <v>33</v>
      </c>
      <c r="I4" s="171">
        <f>C4+F4</f>
        <v>0</v>
      </c>
      <c r="J4" s="7"/>
      <c r="K4" s="4" t="s">
        <v>29</v>
      </c>
      <c r="L4" s="154">
        <v>11</v>
      </c>
      <c r="M4" s="6"/>
    </row>
    <row r="5" spans="1:14" ht="14" x14ac:dyDescent="0.25">
      <c r="A5" s="9" t="s">
        <v>10</v>
      </c>
      <c r="B5" s="4" t="s">
        <v>29</v>
      </c>
      <c r="C5" s="11">
        <v>212</v>
      </c>
      <c r="D5" s="12"/>
      <c r="E5" s="4" t="s">
        <v>29</v>
      </c>
      <c r="F5" s="155">
        <v>319</v>
      </c>
      <c r="G5" s="12"/>
      <c r="H5" s="4" t="s">
        <v>29</v>
      </c>
      <c r="I5" s="171">
        <f t="shared" ref="I5:I7" si="0">C5+F5</f>
        <v>531</v>
      </c>
      <c r="J5" s="7"/>
      <c r="K5" s="4" t="s">
        <v>29</v>
      </c>
      <c r="L5" s="155">
        <v>10619</v>
      </c>
      <c r="M5" s="12"/>
    </row>
    <row r="6" spans="1:14" ht="14" x14ac:dyDescent="0.25">
      <c r="A6" s="9" t="s">
        <v>4</v>
      </c>
      <c r="B6" s="4" t="s">
        <v>29</v>
      </c>
      <c r="C6" s="11">
        <v>31</v>
      </c>
      <c r="D6" s="12"/>
      <c r="E6" s="4" t="s">
        <v>29</v>
      </c>
      <c r="F6" s="155">
        <v>46</v>
      </c>
      <c r="G6" s="12"/>
      <c r="H6" s="4" t="s">
        <v>29</v>
      </c>
      <c r="I6" s="171">
        <f t="shared" si="0"/>
        <v>77</v>
      </c>
      <c r="J6" s="13"/>
      <c r="K6" s="4" t="s">
        <v>29</v>
      </c>
      <c r="L6" s="155">
        <v>1538</v>
      </c>
      <c r="M6" s="12"/>
    </row>
    <row r="7" spans="1:14" ht="14.5" thickBot="1" x14ac:dyDescent="0.3">
      <c r="A7" s="15" t="s">
        <v>7</v>
      </c>
      <c r="B7" s="41" t="s">
        <v>29</v>
      </c>
      <c r="C7" s="17">
        <v>83</v>
      </c>
      <c r="D7" s="18"/>
      <c r="E7" s="41" t="s">
        <v>29</v>
      </c>
      <c r="F7" s="156">
        <v>125</v>
      </c>
      <c r="G7" s="18"/>
      <c r="H7" s="41" t="s">
        <v>29</v>
      </c>
      <c r="I7" s="171">
        <f t="shared" si="0"/>
        <v>208</v>
      </c>
      <c r="J7" s="29"/>
      <c r="K7" s="41" t="s">
        <v>29</v>
      </c>
      <c r="L7" s="156">
        <v>4161</v>
      </c>
      <c r="M7" s="18"/>
    </row>
    <row r="8" spans="1:14" s="74" customFormat="1" ht="14.5" thickBot="1" x14ac:dyDescent="0.3">
      <c r="A8" s="21" t="s">
        <v>8</v>
      </c>
      <c r="B8" s="22" t="s">
        <v>29</v>
      </c>
      <c r="C8" s="71">
        <f>SUM(C4:C7)</f>
        <v>326</v>
      </c>
      <c r="D8" s="72"/>
      <c r="E8" s="153" t="s">
        <v>29</v>
      </c>
      <c r="F8" s="157">
        <f>SUM(F4:F7)</f>
        <v>490</v>
      </c>
      <c r="G8" s="72"/>
      <c r="H8" s="153" t="s">
        <v>29</v>
      </c>
      <c r="I8" s="173">
        <f>C8+F8</f>
        <v>816</v>
      </c>
      <c r="J8" s="73"/>
      <c r="K8" s="22" t="s">
        <v>29</v>
      </c>
      <c r="L8" s="157">
        <f>SUM(L4:L7)</f>
        <v>16329</v>
      </c>
      <c r="M8" s="72"/>
    </row>
    <row r="9" spans="1:14" ht="14.5" thickBot="1" x14ac:dyDescent="0.3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158"/>
      <c r="M9" s="26"/>
      <c r="N9" s="26"/>
    </row>
    <row r="10" spans="1:14" ht="14.5" thickBot="1" x14ac:dyDescent="0.3">
      <c r="A10" s="83" t="s">
        <v>16</v>
      </c>
      <c r="B10" s="84"/>
      <c r="C10" s="84"/>
      <c r="D10" s="85"/>
      <c r="E10" s="26"/>
      <c r="F10" s="26"/>
      <c r="G10" s="26"/>
      <c r="H10" s="26"/>
      <c r="I10" s="26"/>
      <c r="J10" s="26"/>
      <c r="K10" s="26"/>
      <c r="L10" s="26"/>
      <c r="M10" s="26"/>
    </row>
    <row r="11" spans="1:14" ht="14" x14ac:dyDescent="0.25">
      <c r="A11" s="102" t="s">
        <v>11</v>
      </c>
      <c r="B11" s="103" t="s">
        <v>9</v>
      </c>
      <c r="C11" s="104"/>
      <c r="D11" s="105"/>
      <c r="E11" s="26"/>
      <c r="F11" s="26"/>
      <c r="G11" s="26"/>
      <c r="H11" s="26"/>
      <c r="I11" s="26"/>
      <c r="J11" s="26"/>
      <c r="K11" s="26"/>
      <c r="L11" s="26"/>
      <c r="M11" s="26"/>
    </row>
    <row r="12" spans="1:14" ht="14.5" thickBot="1" x14ac:dyDescent="0.3">
      <c r="A12" s="90"/>
      <c r="B12" s="50" t="s">
        <v>1</v>
      </c>
      <c r="C12" s="48" t="s">
        <v>2</v>
      </c>
      <c r="D12" s="49" t="s">
        <v>3</v>
      </c>
      <c r="E12" s="26"/>
      <c r="F12" s="26"/>
      <c r="G12" s="26"/>
      <c r="H12" s="26"/>
      <c r="I12" s="26"/>
      <c r="J12" s="26"/>
      <c r="K12" s="26"/>
      <c r="L12" s="26"/>
      <c r="M12" s="26"/>
    </row>
    <row r="13" spans="1:14" ht="14" x14ac:dyDescent="0.25">
      <c r="A13" s="3" t="s">
        <v>6</v>
      </c>
      <c r="B13" s="7" t="s">
        <v>29</v>
      </c>
      <c r="C13" s="154">
        <v>11</v>
      </c>
      <c r="D13" s="6"/>
      <c r="E13" s="26"/>
      <c r="F13" s="26"/>
      <c r="G13" s="26"/>
      <c r="H13" s="26"/>
      <c r="I13" s="26"/>
      <c r="J13" s="26"/>
      <c r="K13" s="26"/>
      <c r="L13" s="26"/>
      <c r="M13" s="26"/>
    </row>
    <row r="14" spans="1:14" ht="14" x14ac:dyDescent="0.25">
      <c r="A14" s="9" t="s">
        <v>10</v>
      </c>
      <c r="B14" s="7" t="s">
        <v>29</v>
      </c>
      <c r="C14" s="155">
        <v>10619</v>
      </c>
      <c r="D14" s="12"/>
      <c r="E14" s="26"/>
      <c r="F14" s="26"/>
      <c r="G14" s="26"/>
      <c r="H14" s="26"/>
      <c r="I14" s="26"/>
      <c r="J14" s="26"/>
      <c r="K14" s="26"/>
      <c r="L14" s="26"/>
      <c r="M14" s="26"/>
    </row>
    <row r="15" spans="1:14" ht="14" x14ac:dyDescent="0.25">
      <c r="A15" s="9" t="s">
        <v>4</v>
      </c>
      <c r="B15" s="7" t="s">
        <v>29</v>
      </c>
      <c r="C15" s="155">
        <v>1538</v>
      </c>
      <c r="D15" s="12"/>
      <c r="E15" s="26"/>
      <c r="F15" s="26"/>
      <c r="G15" s="26"/>
      <c r="H15" s="26"/>
      <c r="I15" s="26"/>
      <c r="J15" s="26"/>
      <c r="K15" s="26"/>
      <c r="L15" s="26"/>
      <c r="M15" s="26"/>
    </row>
    <row r="16" spans="1:14" ht="14.5" thickBot="1" x14ac:dyDescent="0.3">
      <c r="A16" s="15" t="s">
        <v>7</v>
      </c>
      <c r="B16" s="29" t="s">
        <v>29</v>
      </c>
      <c r="C16" s="156">
        <v>4161</v>
      </c>
      <c r="D16" s="18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74" customFormat="1" ht="14.5" thickBot="1" x14ac:dyDescent="0.3">
      <c r="A17" s="21" t="s">
        <v>8</v>
      </c>
      <c r="B17" s="24" t="s">
        <v>29</v>
      </c>
      <c r="C17" s="157">
        <f>SUM(C13:C16)</f>
        <v>16329</v>
      </c>
      <c r="D17" s="72"/>
      <c r="E17" s="75"/>
      <c r="F17" s="75"/>
      <c r="G17" s="75"/>
      <c r="H17" s="75"/>
      <c r="I17" s="75"/>
      <c r="J17" s="75"/>
      <c r="K17" s="75"/>
      <c r="L17" s="75"/>
      <c r="M17" s="75"/>
    </row>
  </sheetData>
  <mergeCells count="9">
    <mergeCell ref="A11:A12"/>
    <mergeCell ref="B11:D11"/>
    <mergeCell ref="A10:D10"/>
    <mergeCell ref="H2:J2"/>
    <mergeCell ref="A1:M1"/>
    <mergeCell ref="A2:A3"/>
    <mergeCell ref="B2:D2"/>
    <mergeCell ref="E2:G2"/>
    <mergeCell ref="K2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88F56-2183-4AFE-8D8D-8F12DEE73F25}">
  <dimension ref="A1:M18"/>
  <sheetViews>
    <sheetView topLeftCell="F1" workbookViewId="0">
      <selection activeCell="K21" sqref="K21"/>
    </sheetView>
  </sheetViews>
  <sheetFormatPr defaultRowHeight="12.5" x14ac:dyDescent="0.25"/>
  <cols>
    <col min="1" max="1" width="17.08984375" style="1" bestFit="1" customWidth="1"/>
    <col min="2" max="16384" width="8.7265625" style="1"/>
  </cols>
  <sheetData>
    <row r="1" spans="1:13" ht="14.5" thickBot="1" x14ac:dyDescent="0.3">
      <c r="A1" s="87" t="s">
        <v>25</v>
      </c>
      <c r="B1" s="88"/>
      <c r="C1" s="88"/>
      <c r="D1" s="116"/>
    </row>
    <row r="2" spans="1:13" ht="14.5" thickBot="1" x14ac:dyDescent="0.3">
      <c r="A2" s="97" t="s">
        <v>11</v>
      </c>
      <c r="B2" s="94" t="s">
        <v>9</v>
      </c>
      <c r="C2" s="95"/>
      <c r="D2" s="96"/>
    </row>
    <row r="3" spans="1:13" ht="14.5" thickBot="1" x14ac:dyDescent="0.3">
      <c r="A3" s="98"/>
      <c r="B3" s="52" t="s">
        <v>1</v>
      </c>
      <c r="C3" s="53" t="s">
        <v>2</v>
      </c>
      <c r="D3" s="54" t="s">
        <v>3</v>
      </c>
    </row>
    <row r="4" spans="1:13" ht="14" x14ac:dyDescent="0.25">
      <c r="A4" s="2" t="s">
        <v>6</v>
      </c>
      <c r="B4" s="4">
        <v>0</v>
      </c>
      <c r="C4" s="154">
        <v>48</v>
      </c>
      <c r="D4" s="6"/>
    </row>
    <row r="5" spans="1:13" ht="14" x14ac:dyDescent="0.25">
      <c r="A5" s="8" t="s">
        <v>10</v>
      </c>
      <c r="B5" s="10">
        <v>0</v>
      </c>
      <c r="C5" s="155">
        <v>1229</v>
      </c>
      <c r="D5" s="12"/>
    </row>
    <row r="6" spans="1:13" ht="14" x14ac:dyDescent="0.25">
      <c r="A6" s="8" t="s">
        <v>4</v>
      </c>
      <c r="B6" s="10">
        <v>0</v>
      </c>
      <c r="C6" s="155">
        <v>244</v>
      </c>
      <c r="D6" s="12"/>
    </row>
    <row r="7" spans="1:13" ht="14.5" thickBot="1" x14ac:dyDescent="0.3">
      <c r="A7" s="14" t="s">
        <v>7</v>
      </c>
      <c r="B7" s="16">
        <v>0</v>
      </c>
      <c r="C7" s="156">
        <v>600</v>
      </c>
      <c r="D7" s="18"/>
    </row>
    <row r="8" spans="1:13" s="74" customFormat="1" ht="14.5" thickBot="1" x14ac:dyDescent="0.3">
      <c r="A8" s="20" t="s">
        <v>8</v>
      </c>
      <c r="B8" s="70">
        <v>0</v>
      </c>
      <c r="C8" s="157">
        <f>SUM(C4:C7)</f>
        <v>2121</v>
      </c>
      <c r="D8" s="72"/>
    </row>
    <row r="10" spans="1:13" ht="13" thickBot="1" x14ac:dyDescent="0.3"/>
    <row r="11" spans="1:13" ht="14.5" thickBot="1" x14ac:dyDescent="0.3">
      <c r="A11" s="87" t="s">
        <v>28</v>
      </c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106"/>
    </row>
    <row r="12" spans="1:13" ht="14.5" thickBot="1" x14ac:dyDescent="0.3">
      <c r="A12" s="120" t="s">
        <v>11</v>
      </c>
      <c r="B12" s="94" t="s">
        <v>26</v>
      </c>
      <c r="C12" s="95"/>
      <c r="D12" s="96"/>
      <c r="E12" s="94" t="s">
        <v>0</v>
      </c>
      <c r="F12" s="95"/>
      <c r="G12" s="96"/>
      <c r="H12" s="86" t="s">
        <v>31</v>
      </c>
      <c r="I12" s="86"/>
      <c r="J12" s="86"/>
      <c r="K12" s="99" t="s">
        <v>9</v>
      </c>
      <c r="L12" s="100"/>
      <c r="M12" s="101"/>
    </row>
    <row r="13" spans="1:13" ht="14.5" thickBot="1" x14ac:dyDescent="0.3">
      <c r="A13" s="121"/>
      <c r="B13" s="117" t="s">
        <v>1</v>
      </c>
      <c r="C13" s="118"/>
      <c r="D13" s="119"/>
      <c r="E13" s="52" t="s">
        <v>1</v>
      </c>
      <c r="F13" s="53" t="s">
        <v>2</v>
      </c>
      <c r="G13" s="54" t="s">
        <v>3</v>
      </c>
      <c r="H13" s="52" t="s">
        <v>1</v>
      </c>
      <c r="I13" s="53" t="s">
        <v>2</v>
      </c>
      <c r="J13" s="61" t="s">
        <v>3</v>
      </c>
      <c r="K13" s="55" t="s">
        <v>1</v>
      </c>
      <c r="L13" s="53" t="s">
        <v>2</v>
      </c>
      <c r="M13" s="54" t="s">
        <v>3</v>
      </c>
    </row>
    <row r="14" spans="1:13" ht="14" x14ac:dyDescent="0.25">
      <c r="A14" s="34" t="s">
        <v>6</v>
      </c>
      <c r="B14" s="186">
        <v>48</v>
      </c>
      <c r="C14" s="187"/>
      <c r="D14" s="188"/>
      <c r="E14" s="4"/>
      <c r="F14" s="154">
        <v>24</v>
      </c>
      <c r="G14" s="6"/>
      <c r="H14" s="175">
        <f>B14</f>
        <v>48</v>
      </c>
      <c r="I14" s="171">
        <v>24</v>
      </c>
      <c r="J14" s="45">
        <f>H14/I14</f>
        <v>2</v>
      </c>
      <c r="K14" s="7">
        <f>B14</f>
        <v>48</v>
      </c>
      <c r="L14" s="154">
        <v>48</v>
      </c>
      <c r="M14" s="27">
        <f>K14/L14</f>
        <v>1</v>
      </c>
    </row>
    <row r="15" spans="1:13" ht="14" x14ac:dyDescent="0.25">
      <c r="A15" s="8" t="s">
        <v>10</v>
      </c>
      <c r="B15" s="189">
        <v>1229</v>
      </c>
      <c r="C15" s="190"/>
      <c r="D15" s="191"/>
      <c r="E15" s="10"/>
      <c r="F15" s="155">
        <v>614</v>
      </c>
      <c r="G15" s="12"/>
      <c r="H15" s="175">
        <f t="shared" ref="H15:H17" si="0">B15</f>
        <v>1229</v>
      </c>
      <c r="I15" s="171">
        <v>614</v>
      </c>
      <c r="J15" s="45">
        <f t="shared" ref="J15:J17" si="1">H15/I15</f>
        <v>2.0016286644951138</v>
      </c>
      <c r="K15" s="7">
        <f t="shared" ref="K15:K17" si="2">B15</f>
        <v>1229</v>
      </c>
      <c r="L15" s="155">
        <v>1229</v>
      </c>
      <c r="M15" s="27">
        <f t="shared" ref="M15:M17" si="3">K15/L15</f>
        <v>1</v>
      </c>
    </row>
    <row r="16" spans="1:13" ht="14" x14ac:dyDescent="0.25">
      <c r="A16" s="8" t="s">
        <v>4</v>
      </c>
      <c r="B16" s="189">
        <v>244</v>
      </c>
      <c r="C16" s="190"/>
      <c r="D16" s="191"/>
      <c r="E16" s="10"/>
      <c r="F16" s="155">
        <v>122</v>
      </c>
      <c r="G16" s="12"/>
      <c r="H16" s="175">
        <f t="shared" si="0"/>
        <v>244</v>
      </c>
      <c r="I16" s="171">
        <v>122</v>
      </c>
      <c r="J16" s="45">
        <f t="shared" si="1"/>
        <v>2</v>
      </c>
      <c r="K16" s="7">
        <f t="shared" si="2"/>
        <v>244</v>
      </c>
      <c r="L16" s="155">
        <v>244</v>
      </c>
      <c r="M16" s="27">
        <f t="shared" si="3"/>
        <v>1</v>
      </c>
    </row>
    <row r="17" spans="1:13" ht="14.5" thickBot="1" x14ac:dyDescent="0.3">
      <c r="A17" s="14" t="s">
        <v>7</v>
      </c>
      <c r="B17" s="192">
        <v>600</v>
      </c>
      <c r="C17" s="193"/>
      <c r="D17" s="194"/>
      <c r="E17" s="16"/>
      <c r="F17" s="156">
        <v>300</v>
      </c>
      <c r="G17" s="18"/>
      <c r="H17" s="175">
        <f t="shared" si="0"/>
        <v>600</v>
      </c>
      <c r="I17" s="171">
        <v>300</v>
      </c>
      <c r="J17" s="45">
        <f t="shared" si="1"/>
        <v>2</v>
      </c>
      <c r="K17" s="7">
        <f t="shared" si="2"/>
        <v>600</v>
      </c>
      <c r="L17" s="156">
        <v>600</v>
      </c>
      <c r="M17" s="27">
        <f t="shared" si="3"/>
        <v>1</v>
      </c>
    </row>
    <row r="18" spans="1:13" s="74" customFormat="1" ht="14.5" thickBot="1" x14ac:dyDescent="0.3">
      <c r="A18" s="20" t="s">
        <v>8</v>
      </c>
      <c r="B18" s="195">
        <f>SUM(B14:D17)</f>
        <v>2121</v>
      </c>
      <c r="C18" s="196"/>
      <c r="D18" s="197"/>
      <c r="E18" s="70"/>
      <c r="F18" s="157">
        <f>SUM(F14:F17)</f>
        <v>1060</v>
      </c>
      <c r="G18" s="72"/>
      <c r="H18" s="176">
        <f>SUM(H14:H17)</f>
        <v>2121</v>
      </c>
      <c r="I18" s="173">
        <f>B18+F18</f>
        <v>3181</v>
      </c>
      <c r="J18" s="178">
        <f>H18/I18</f>
        <v>0.66677145551713302</v>
      </c>
      <c r="K18" s="73">
        <f>SUM(K14:K17)</f>
        <v>2121</v>
      </c>
      <c r="L18" s="157">
        <f>SUM(L14:L17)</f>
        <v>2121</v>
      </c>
      <c r="M18" s="76">
        <f>K18/L18</f>
        <v>1</v>
      </c>
    </row>
  </sheetData>
  <mergeCells count="15">
    <mergeCell ref="K12:M12"/>
    <mergeCell ref="A11:M11"/>
    <mergeCell ref="A2:A3"/>
    <mergeCell ref="B2:D2"/>
    <mergeCell ref="A1:D1"/>
    <mergeCell ref="B13:D13"/>
    <mergeCell ref="B14:D14"/>
    <mergeCell ref="A12:A13"/>
    <mergeCell ref="B12:D12"/>
    <mergeCell ref="B15:D15"/>
    <mergeCell ref="B16:D16"/>
    <mergeCell ref="B17:D17"/>
    <mergeCell ref="B18:D18"/>
    <mergeCell ref="H12:J12"/>
    <mergeCell ref="E12:G1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5856F-3F4B-45C1-BB4D-A15D862DE52E}">
  <dimension ref="A1:D8"/>
  <sheetViews>
    <sheetView workbookViewId="0">
      <selection activeCell="F7" sqref="F7"/>
    </sheetView>
  </sheetViews>
  <sheetFormatPr defaultRowHeight="12.5" x14ac:dyDescent="0.25"/>
  <cols>
    <col min="1" max="1" width="17.08984375" style="1" bestFit="1" customWidth="1"/>
    <col min="2" max="16384" width="8.7265625" style="1"/>
  </cols>
  <sheetData>
    <row r="1" spans="1:4" ht="14.5" thickBot="1" x14ac:dyDescent="0.3">
      <c r="A1" s="87" t="s">
        <v>30</v>
      </c>
      <c r="B1" s="88"/>
      <c r="C1" s="88"/>
      <c r="D1" s="116"/>
    </row>
    <row r="2" spans="1:4" ht="14" x14ac:dyDescent="0.25">
      <c r="A2" s="97" t="s">
        <v>11</v>
      </c>
      <c r="B2" s="122" t="s">
        <v>9</v>
      </c>
      <c r="C2" s="123"/>
      <c r="D2" s="124"/>
    </row>
    <row r="3" spans="1:4" ht="14.5" thickBot="1" x14ac:dyDescent="0.3">
      <c r="A3" s="98"/>
      <c r="B3" s="47" t="s">
        <v>1</v>
      </c>
      <c r="C3" s="48" t="s">
        <v>2</v>
      </c>
      <c r="D3" s="49" t="s">
        <v>3</v>
      </c>
    </row>
    <row r="4" spans="1:4" ht="14" x14ac:dyDescent="0.25">
      <c r="A4" s="2" t="s">
        <v>6</v>
      </c>
      <c r="B4" s="4" t="s">
        <v>29</v>
      </c>
      <c r="C4" s="4" t="s">
        <v>29</v>
      </c>
      <c r="D4" s="4" t="s">
        <v>29</v>
      </c>
    </row>
    <row r="5" spans="1:4" ht="14" x14ac:dyDescent="0.25">
      <c r="A5" s="8" t="s">
        <v>10</v>
      </c>
      <c r="B5" s="4" t="s">
        <v>29</v>
      </c>
      <c r="C5" s="4" t="s">
        <v>29</v>
      </c>
      <c r="D5" s="4" t="s">
        <v>29</v>
      </c>
    </row>
    <row r="6" spans="1:4" ht="14" x14ac:dyDescent="0.25">
      <c r="A6" s="8" t="s">
        <v>4</v>
      </c>
      <c r="B6" s="4" t="s">
        <v>29</v>
      </c>
      <c r="C6" s="4" t="s">
        <v>29</v>
      </c>
      <c r="D6" s="4" t="s">
        <v>29</v>
      </c>
    </row>
    <row r="7" spans="1:4" ht="14.5" thickBot="1" x14ac:dyDescent="0.3">
      <c r="A7" s="14" t="s">
        <v>7</v>
      </c>
      <c r="B7" s="4" t="s">
        <v>29</v>
      </c>
      <c r="C7" s="4" t="s">
        <v>29</v>
      </c>
      <c r="D7" s="4" t="s">
        <v>29</v>
      </c>
    </row>
    <row r="8" spans="1:4" s="74" customFormat="1" ht="14.5" thickBot="1" x14ac:dyDescent="0.3">
      <c r="A8" s="20" t="s">
        <v>8</v>
      </c>
      <c r="B8" s="4" t="s">
        <v>29</v>
      </c>
      <c r="C8" s="4" t="s">
        <v>29</v>
      </c>
      <c r="D8" s="4" t="s">
        <v>29</v>
      </c>
    </row>
  </sheetData>
  <mergeCells count="3">
    <mergeCell ref="A1:D1"/>
    <mergeCell ref="A2:A3"/>
    <mergeCell ref="B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8BEB-AD2E-4402-90C9-F30F07E1B863}">
  <dimension ref="A1:M8"/>
  <sheetViews>
    <sheetView tabSelected="1" topLeftCell="F1" workbookViewId="0">
      <selection activeCell="R17" sqref="R17"/>
    </sheetView>
  </sheetViews>
  <sheetFormatPr defaultRowHeight="12.5" x14ac:dyDescent="0.25"/>
  <cols>
    <col min="1" max="1" width="17.08984375" style="1" bestFit="1" customWidth="1"/>
    <col min="2" max="16384" width="8.7265625" style="1"/>
  </cols>
  <sheetData>
    <row r="1" spans="1:13" ht="14.5" thickBot="1" x14ac:dyDescent="0.3">
      <c r="A1" s="87" t="s">
        <v>17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116"/>
    </row>
    <row r="2" spans="1:13" ht="14" x14ac:dyDescent="0.25">
      <c r="A2" s="97" t="s">
        <v>11</v>
      </c>
      <c r="B2" s="122" t="s">
        <v>26</v>
      </c>
      <c r="C2" s="123"/>
      <c r="D2" s="124"/>
      <c r="E2" s="122" t="s">
        <v>0</v>
      </c>
      <c r="F2" s="123"/>
      <c r="G2" s="124"/>
      <c r="H2" s="128" t="s">
        <v>31</v>
      </c>
      <c r="I2" s="128"/>
      <c r="J2" s="128"/>
      <c r="K2" s="103" t="s">
        <v>9</v>
      </c>
      <c r="L2" s="104"/>
      <c r="M2" s="105"/>
    </row>
    <row r="3" spans="1:13" ht="14.5" thickBot="1" x14ac:dyDescent="0.3">
      <c r="A3" s="98"/>
      <c r="B3" s="129" t="s">
        <v>1</v>
      </c>
      <c r="C3" s="130"/>
      <c r="D3" s="131"/>
      <c r="E3" s="47" t="s">
        <v>1</v>
      </c>
      <c r="F3" s="48" t="s">
        <v>2</v>
      </c>
      <c r="G3" s="49" t="s">
        <v>3</v>
      </c>
      <c r="H3" s="62" t="s">
        <v>1</v>
      </c>
      <c r="I3" s="62" t="s">
        <v>2</v>
      </c>
      <c r="J3" s="63" t="s">
        <v>3</v>
      </c>
      <c r="K3" s="50" t="s">
        <v>1</v>
      </c>
      <c r="L3" s="48" t="s">
        <v>2</v>
      </c>
      <c r="M3" s="49" t="s">
        <v>3</v>
      </c>
    </row>
    <row r="4" spans="1:13" ht="14" x14ac:dyDescent="0.25">
      <c r="A4" s="2" t="s">
        <v>6</v>
      </c>
      <c r="B4" s="125">
        <v>965</v>
      </c>
      <c r="C4" s="126"/>
      <c r="D4" s="127"/>
      <c r="E4" s="4">
        <v>0</v>
      </c>
      <c r="F4" s="154">
        <v>613</v>
      </c>
      <c r="G4" s="6"/>
      <c r="H4" s="174">
        <f>B4</f>
        <v>965</v>
      </c>
      <c r="I4" s="174">
        <f>613+613</f>
        <v>1226</v>
      </c>
      <c r="J4" s="169">
        <f>H4/I4</f>
        <v>0.78711256117455142</v>
      </c>
      <c r="K4" s="7">
        <f>B4</f>
        <v>965</v>
      </c>
      <c r="L4" s="154">
        <v>3065</v>
      </c>
      <c r="M4" s="27">
        <f>K4/L4</f>
        <v>0.31484502446982054</v>
      </c>
    </row>
    <row r="5" spans="1:13" ht="14" x14ac:dyDescent="0.25">
      <c r="A5" s="8" t="s">
        <v>7</v>
      </c>
      <c r="B5" s="107">
        <v>418</v>
      </c>
      <c r="C5" s="108"/>
      <c r="D5" s="109"/>
      <c r="E5" s="10">
        <v>0</v>
      </c>
      <c r="F5" s="155">
        <v>358</v>
      </c>
      <c r="G5" s="12"/>
      <c r="H5" s="174">
        <f t="shared" ref="H5:H7" si="0">B5</f>
        <v>418</v>
      </c>
      <c r="I5" s="174">
        <f>358+358</f>
        <v>716</v>
      </c>
      <c r="J5" s="169">
        <f t="shared" ref="J5:J7" si="1">H5/I5</f>
        <v>0.58379888268156421</v>
      </c>
      <c r="K5" s="7">
        <f>B5</f>
        <v>418</v>
      </c>
      <c r="L5" s="155">
        <v>1792</v>
      </c>
      <c r="M5" s="27">
        <f t="shared" ref="M5:M8" si="2">K5/L5</f>
        <v>0.23325892857142858</v>
      </c>
    </row>
    <row r="6" spans="1:13" ht="14" x14ac:dyDescent="0.25">
      <c r="A6" s="8" t="s">
        <v>10</v>
      </c>
      <c r="B6" s="107">
        <v>594</v>
      </c>
      <c r="C6" s="108"/>
      <c r="D6" s="109"/>
      <c r="E6" s="10">
        <v>0</v>
      </c>
      <c r="F6" s="155">
        <v>233</v>
      </c>
      <c r="G6" s="12"/>
      <c r="H6" s="174">
        <f t="shared" si="0"/>
        <v>594</v>
      </c>
      <c r="I6" s="174">
        <f>233+233</f>
        <v>466</v>
      </c>
      <c r="J6" s="169">
        <f t="shared" si="1"/>
        <v>1.2746781115879828</v>
      </c>
      <c r="K6" s="7">
        <f>B6</f>
        <v>594</v>
      </c>
      <c r="L6" s="155">
        <v>1693</v>
      </c>
      <c r="M6" s="27">
        <f t="shared" si="2"/>
        <v>0.35085646780862373</v>
      </c>
    </row>
    <row r="7" spans="1:13" ht="14.5" thickBot="1" x14ac:dyDescent="0.3">
      <c r="A7" s="14" t="s">
        <v>4</v>
      </c>
      <c r="B7" s="110">
        <v>61</v>
      </c>
      <c r="C7" s="111"/>
      <c r="D7" s="112"/>
      <c r="E7" s="16">
        <v>0</v>
      </c>
      <c r="F7" s="156">
        <v>50</v>
      </c>
      <c r="G7" s="18"/>
      <c r="H7" s="174">
        <f t="shared" si="0"/>
        <v>61</v>
      </c>
      <c r="I7" s="174">
        <f>50+50</f>
        <v>100</v>
      </c>
      <c r="J7" s="169">
        <f t="shared" si="1"/>
        <v>0.61</v>
      </c>
      <c r="K7" s="29">
        <f>B7</f>
        <v>61</v>
      </c>
      <c r="L7" s="156">
        <v>307</v>
      </c>
      <c r="M7" s="28">
        <f t="shared" si="2"/>
        <v>0.1986970684039088</v>
      </c>
    </row>
    <row r="8" spans="1:13" s="74" customFormat="1" ht="14.5" thickBot="1" x14ac:dyDescent="0.3">
      <c r="A8" s="20" t="s">
        <v>8</v>
      </c>
      <c r="B8" s="113">
        <f>SUM(B4:B7)</f>
        <v>2038</v>
      </c>
      <c r="C8" s="114"/>
      <c r="D8" s="115"/>
      <c r="E8" s="70">
        <v>0</v>
      </c>
      <c r="F8" s="157">
        <f>SUM(F4:F7)</f>
        <v>1254</v>
      </c>
      <c r="G8" s="72"/>
      <c r="H8" s="173">
        <f>B8</f>
        <v>2038</v>
      </c>
      <c r="I8" s="173">
        <f>SUM(I4:I7)</f>
        <v>2508</v>
      </c>
      <c r="J8" s="170">
        <f>H8/I8</f>
        <v>0.81259968102073366</v>
      </c>
      <c r="K8" s="73">
        <f>B8</f>
        <v>2038</v>
      </c>
      <c r="L8" s="157">
        <f>SUM(L4:L7)</f>
        <v>6857</v>
      </c>
      <c r="M8" s="76">
        <f t="shared" si="2"/>
        <v>0.29721452530261044</v>
      </c>
    </row>
  </sheetData>
  <mergeCells count="12">
    <mergeCell ref="K2:M2"/>
    <mergeCell ref="A1:M1"/>
    <mergeCell ref="B3:D3"/>
    <mergeCell ref="H2:J2"/>
    <mergeCell ref="A2:A3"/>
    <mergeCell ref="B2:D2"/>
    <mergeCell ref="E2:G2"/>
    <mergeCell ref="B4:D4"/>
    <mergeCell ref="B5:D5"/>
    <mergeCell ref="B6:D6"/>
    <mergeCell ref="B7:D7"/>
    <mergeCell ref="B8:D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37C18-2755-4DA4-BAA3-BE8A1FDE0015}">
  <dimension ref="A1:P19"/>
  <sheetViews>
    <sheetView workbookViewId="0">
      <selection activeCell="H6" sqref="H6"/>
    </sheetView>
  </sheetViews>
  <sheetFormatPr defaultRowHeight="12.5" x14ac:dyDescent="0.25"/>
  <cols>
    <col min="1" max="1" width="17.08984375" style="1" bestFit="1" customWidth="1"/>
    <col min="2" max="4" width="8.7265625" style="1"/>
    <col min="5" max="5" width="10.6328125" style="1" bestFit="1" customWidth="1"/>
    <col min="6" max="9" width="8.7265625" style="1"/>
    <col min="10" max="10" width="7.453125" style="179" bestFit="1" customWidth="1"/>
    <col min="11" max="16384" width="8.7265625" style="1"/>
  </cols>
  <sheetData>
    <row r="1" spans="1:16" ht="14.5" thickBot="1" x14ac:dyDescent="0.3">
      <c r="A1" s="150" t="s">
        <v>18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2"/>
    </row>
    <row r="2" spans="1:16" ht="14.5" thickBot="1" x14ac:dyDescent="0.3">
      <c r="A2" s="102" t="s">
        <v>11</v>
      </c>
      <c r="B2" s="142" t="s">
        <v>26</v>
      </c>
      <c r="C2" s="143"/>
      <c r="D2" s="144"/>
      <c r="E2" s="94" t="s">
        <v>0</v>
      </c>
      <c r="F2" s="95"/>
      <c r="G2" s="96"/>
      <c r="H2" s="86" t="s">
        <v>31</v>
      </c>
      <c r="I2" s="86"/>
      <c r="J2" s="86"/>
      <c r="K2" s="149" t="s">
        <v>9</v>
      </c>
      <c r="L2" s="100"/>
      <c r="M2" s="101"/>
    </row>
    <row r="3" spans="1:16" ht="14.5" thickBot="1" x14ac:dyDescent="0.3">
      <c r="A3" s="90"/>
      <c r="B3" s="117" t="s">
        <v>27</v>
      </c>
      <c r="C3" s="118"/>
      <c r="D3" s="119"/>
      <c r="E3" s="52" t="s">
        <v>1</v>
      </c>
      <c r="F3" s="53" t="s">
        <v>2</v>
      </c>
      <c r="G3" s="54" t="s">
        <v>3</v>
      </c>
      <c r="H3" s="52" t="s">
        <v>1</v>
      </c>
      <c r="I3" s="53" t="s">
        <v>2</v>
      </c>
      <c r="J3" s="177" t="s">
        <v>3</v>
      </c>
      <c r="K3" s="52" t="s">
        <v>1</v>
      </c>
      <c r="L3" s="55" t="s">
        <v>2</v>
      </c>
      <c r="M3" s="61" t="s">
        <v>3</v>
      </c>
    </row>
    <row r="4" spans="1:16" ht="14" x14ac:dyDescent="0.25">
      <c r="A4" s="3" t="s">
        <v>6</v>
      </c>
      <c r="B4" s="139">
        <v>98</v>
      </c>
      <c r="C4" s="139"/>
      <c r="D4" s="139"/>
      <c r="E4" s="4">
        <v>0</v>
      </c>
      <c r="F4" s="159">
        <v>2</v>
      </c>
      <c r="G4" s="3"/>
      <c r="H4" s="175">
        <f>B4</f>
        <v>98</v>
      </c>
      <c r="I4" s="171">
        <f>H4+4</f>
        <v>102</v>
      </c>
      <c r="J4" s="45">
        <f>IH4/I4</f>
        <v>0</v>
      </c>
      <c r="K4" s="4">
        <f>B4</f>
        <v>98</v>
      </c>
      <c r="L4" s="162">
        <v>171</v>
      </c>
      <c r="M4" s="45">
        <f>K4/L4</f>
        <v>0.57309941520467833</v>
      </c>
    </row>
    <row r="5" spans="1:16" ht="14" x14ac:dyDescent="0.25">
      <c r="A5" s="3" t="s">
        <v>10</v>
      </c>
      <c r="B5" s="139">
        <v>75</v>
      </c>
      <c r="C5" s="139"/>
      <c r="D5" s="139"/>
      <c r="E5" s="4">
        <v>0</v>
      </c>
      <c r="F5" s="160">
        <v>0</v>
      </c>
      <c r="G5" s="6"/>
      <c r="H5" s="175">
        <f t="shared" ref="H5:H7" si="0">B5</f>
        <v>75</v>
      </c>
      <c r="I5" s="171">
        <v>75</v>
      </c>
      <c r="J5" s="45">
        <f t="shared" ref="J5:J7" si="1">H5/I5</f>
        <v>1</v>
      </c>
      <c r="K5" s="10">
        <f>B5</f>
        <v>75</v>
      </c>
      <c r="L5" s="163">
        <v>105</v>
      </c>
      <c r="M5" s="45">
        <f t="shared" ref="M5:M7" si="2">K5/L5</f>
        <v>0.7142857142857143</v>
      </c>
    </row>
    <row r="6" spans="1:16" ht="14" x14ac:dyDescent="0.25">
      <c r="A6" s="3" t="s">
        <v>4</v>
      </c>
      <c r="B6" s="139">
        <v>20</v>
      </c>
      <c r="C6" s="139"/>
      <c r="D6" s="139"/>
      <c r="E6" s="4">
        <v>0</v>
      </c>
      <c r="F6" s="160">
        <v>6</v>
      </c>
      <c r="G6" s="6"/>
      <c r="H6" s="175">
        <f t="shared" si="0"/>
        <v>20</v>
      </c>
      <c r="I6" s="171">
        <v>32</v>
      </c>
      <c r="J6" s="45">
        <f t="shared" si="1"/>
        <v>0.625</v>
      </c>
      <c r="K6" s="10">
        <f>B6</f>
        <v>20</v>
      </c>
      <c r="L6" s="163">
        <v>21</v>
      </c>
      <c r="M6" s="45">
        <f t="shared" si="2"/>
        <v>0.95238095238095233</v>
      </c>
    </row>
    <row r="7" spans="1:16" ht="14.5" thickBot="1" x14ac:dyDescent="0.3">
      <c r="A7" s="35" t="s">
        <v>7</v>
      </c>
      <c r="B7" s="140">
        <v>45</v>
      </c>
      <c r="C7" s="140"/>
      <c r="D7" s="140"/>
      <c r="E7" s="41">
        <v>0</v>
      </c>
      <c r="F7" s="158">
        <v>1</v>
      </c>
      <c r="G7" s="36"/>
      <c r="H7" s="175">
        <f t="shared" si="0"/>
        <v>45</v>
      </c>
      <c r="I7" s="171">
        <v>47</v>
      </c>
      <c r="J7" s="45">
        <f t="shared" si="1"/>
        <v>0.95744680851063835</v>
      </c>
      <c r="K7" s="41">
        <f>B7</f>
        <v>45</v>
      </c>
      <c r="L7" s="156">
        <v>108</v>
      </c>
      <c r="M7" s="45">
        <f t="shared" si="2"/>
        <v>0.41666666666666669</v>
      </c>
    </row>
    <row r="8" spans="1:16" s="74" customFormat="1" ht="14.5" thickBot="1" x14ac:dyDescent="0.3">
      <c r="A8" s="21" t="s">
        <v>8</v>
      </c>
      <c r="B8" s="141">
        <f>SUM(B4:B7)</f>
        <v>238</v>
      </c>
      <c r="C8" s="141"/>
      <c r="D8" s="141"/>
      <c r="E8" s="70">
        <v>0</v>
      </c>
      <c r="F8" s="161">
        <f>SUM(F4:F7)</f>
        <v>9</v>
      </c>
      <c r="G8" s="72"/>
      <c r="H8" s="176">
        <f>B8</f>
        <v>238</v>
      </c>
      <c r="I8" s="173">
        <f>SUM(I4:I7)</f>
        <v>256</v>
      </c>
      <c r="J8" s="178">
        <f>H8/I8</f>
        <v>0.9296875</v>
      </c>
      <c r="K8" s="20">
        <f>B8</f>
        <v>238</v>
      </c>
      <c r="L8" s="164">
        <f>SUM(L4:L7)</f>
        <v>405</v>
      </c>
      <c r="M8" s="77">
        <f t="shared" ref="M8" si="3">K8/L8</f>
        <v>0.58765432098765435</v>
      </c>
    </row>
    <row r="10" spans="1:16" ht="13" thickBot="1" x14ac:dyDescent="0.3"/>
    <row r="11" spans="1:16" ht="14.5" thickBot="1" x14ac:dyDescent="0.3">
      <c r="A11" s="87" t="s">
        <v>19</v>
      </c>
      <c r="B11" s="88"/>
      <c r="C11" s="88"/>
      <c r="D11" s="88"/>
      <c r="E11" s="88"/>
      <c r="F11" s="88"/>
      <c r="G11" s="88"/>
      <c r="H11" s="88"/>
      <c r="I11" s="88"/>
      <c r="J11" s="116"/>
    </row>
    <row r="12" spans="1:16" ht="14.5" thickBot="1" x14ac:dyDescent="0.3">
      <c r="A12" s="102" t="s">
        <v>11</v>
      </c>
      <c r="B12" s="142" t="s">
        <v>26</v>
      </c>
      <c r="C12" s="143"/>
      <c r="D12" s="144"/>
      <c r="E12" s="135" t="s">
        <v>0</v>
      </c>
      <c r="F12" s="136"/>
      <c r="G12" s="137" t="s">
        <v>32</v>
      </c>
      <c r="H12" s="138"/>
      <c r="I12" s="148" t="s">
        <v>9</v>
      </c>
      <c r="J12" s="136"/>
    </row>
    <row r="13" spans="1:16" ht="14.5" thickBot="1" x14ac:dyDescent="0.3">
      <c r="A13" s="90"/>
      <c r="B13" s="145" t="s">
        <v>13</v>
      </c>
      <c r="C13" s="146"/>
      <c r="D13" s="147"/>
      <c r="E13" s="64" t="s">
        <v>13</v>
      </c>
      <c r="F13" s="65" t="s">
        <v>21</v>
      </c>
      <c r="G13" s="52" t="s">
        <v>2</v>
      </c>
      <c r="H13" s="61" t="s">
        <v>3</v>
      </c>
      <c r="I13" s="66" t="s">
        <v>13</v>
      </c>
      <c r="J13" s="180" t="s">
        <v>21</v>
      </c>
    </row>
    <row r="14" spans="1:16" ht="14.5" thickBot="1" x14ac:dyDescent="0.3">
      <c r="A14" s="3" t="s">
        <v>6</v>
      </c>
      <c r="B14" s="125" t="s">
        <v>29</v>
      </c>
      <c r="C14" s="126"/>
      <c r="D14" s="127"/>
      <c r="E14" s="80" t="s">
        <v>29</v>
      </c>
      <c r="F14" s="165">
        <v>0.56000000000000005</v>
      </c>
      <c r="G14" s="80" t="s">
        <v>29</v>
      </c>
      <c r="H14" s="44">
        <f>F14</f>
        <v>0.56000000000000005</v>
      </c>
      <c r="I14" s="25" t="str">
        <f>B14</f>
        <v xml:space="preserve">No data </v>
      </c>
      <c r="J14" s="181">
        <v>1</v>
      </c>
    </row>
    <row r="15" spans="1:16" ht="14.5" thickBot="1" x14ac:dyDescent="0.3">
      <c r="A15" s="9" t="s">
        <v>10</v>
      </c>
      <c r="B15" s="125" t="s">
        <v>29</v>
      </c>
      <c r="C15" s="126"/>
      <c r="D15" s="127"/>
      <c r="E15" s="81" t="s">
        <v>29</v>
      </c>
      <c r="F15" s="166">
        <v>0.71</v>
      </c>
      <c r="G15" s="81" t="s">
        <v>29</v>
      </c>
      <c r="H15" s="44">
        <f t="shared" ref="H15:H17" si="4">F15</f>
        <v>0.71</v>
      </c>
      <c r="I15" s="25" t="str">
        <f>B15</f>
        <v xml:space="preserve">No data </v>
      </c>
      <c r="J15" s="182">
        <v>1</v>
      </c>
    </row>
    <row r="16" spans="1:16" ht="14.5" thickBot="1" x14ac:dyDescent="0.3">
      <c r="A16" s="9" t="s">
        <v>4</v>
      </c>
      <c r="B16" s="125" t="s">
        <v>29</v>
      </c>
      <c r="C16" s="126"/>
      <c r="D16" s="127"/>
      <c r="E16" s="80" t="s">
        <v>29</v>
      </c>
      <c r="F16" s="166">
        <v>0.86</v>
      </c>
      <c r="G16" s="80" t="s">
        <v>29</v>
      </c>
      <c r="H16" s="44">
        <f t="shared" si="4"/>
        <v>0.86</v>
      </c>
      <c r="I16" s="25" t="str">
        <f>B16</f>
        <v xml:space="preserve">No data </v>
      </c>
      <c r="J16" s="182">
        <v>1</v>
      </c>
    </row>
    <row r="17" spans="1:15" ht="14.5" thickBot="1" x14ac:dyDescent="0.3">
      <c r="A17" s="15" t="s">
        <v>7</v>
      </c>
      <c r="B17" s="125" t="s">
        <v>29</v>
      </c>
      <c r="C17" s="126"/>
      <c r="D17" s="127"/>
      <c r="E17" s="82" t="s">
        <v>29</v>
      </c>
      <c r="F17" s="167">
        <v>0.42</v>
      </c>
      <c r="G17" s="82" t="s">
        <v>29</v>
      </c>
      <c r="H17" s="44">
        <f t="shared" si="4"/>
        <v>0.42</v>
      </c>
      <c r="I17" s="32" t="str">
        <f>B17</f>
        <v xml:space="preserve">No data </v>
      </c>
      <c r="J17" s="183">
        <v>1</v>
      </c>
    </row>
    <row r="18" spans="1:15" s="74" customFormat="1" ht="14.5" thickBot="1" x14ac:dyDescent="0.3">
      <c r="A18" s="21" t="s">
        <v>8</v>
      </c>
      <c r="B18" s="132" t="s">
        <v>29</v>
      </c>
      <c r="C18" s="133"/>
      <c r="D18" s="134"/>
      <c r="E18" s="33" t="s">
        <v>29</v>
      </c>
      <c r="F18" s="168">
        <v>0.57999999999999996</v>
      </c>
      <c r="G18" s="22" t="s">
        <v>29</v>
      </c>
      <c r="H18" s="78">
        <f>F18</f>
        <v>0.57999999999999996</v>
      </c>
      <c r="I18" s="79" t="str">
        <f>B18</f>
        <v xml:space="preserve">No data </v>
      </c>
      <c r="J18" s="184">
        <v>1</v>
      </c>
    </row>
    <row r="19" spans="1:15" x14ac:dyDescent="0.25">
      <c r="J19" s="185"/>
      <c r="O19" s="43"/>
    </row>
  </sheetData>
  <mergeCells count="24">
    <mergeCell ref="A1:P1"/>
    <mergeCell ref="A11:J11"/>
    <mergeCell ref="A2:A3"/>
    <mergeCell ref="B2:D2"/>
    <mergeCell ref="E2:G2"/>
    <mergeCell ref="K2:M2"/>
    <mergeCell ref="B18:D18"/>
    <mergeCell ref="H2:J2"/>
    <mergeCell ref="E12:F12"/>
    <mergeCell ref="G12:H12"/>
    <mergeCell ref="B3:D3"/>
    <mergeCell ref="B4:D4"/>
    <mergeCell ref="B5:D5"/>
    <mergeCell ref="B6:D6"/>
    <mergeCell ref="B7:D7"/>
    <mergeCell ref="B8:D8"/>
    <mergeCell ref="B12:D12"/>
    <mergeCell ref="B13:D13"/>
    <mergeCell ref="I12:J12"/>
    <mergeCell ref="B14:D14"/>
    <mergeCell ref="B15:D15"/>
    <mergeCell ref="B16:D16"/>
    <mergeCell ref="B17:D17"/>
    <mergeCell ref="A12:A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DFCDA-EAC3-4EAB-B211-71CBDD48D992}">
  <dimension ref="A1:K8"/>
  <sheetViews>
    <sheetView workbookViewId="0">
      <selection activeCell="G11" sqref="G11"/>
    </sheetView>
  </sheetViews>
  <sheetFormatPr defaultRowHeight="12.5" x14ac:dyDescent="0.25"/>
  <cols>
    <col min="1" max="1" width="17.08984375" style="1" bestFit="1" customWidth="1"/>
    <col min="2" max="16384" width="8.7265625" style="1"/>
  </cols>
  <sheetData>
    <row r="1" spans="1:11" ht="14.5" thickBot="1" x14ac:dyDescent="0.3">
      <c r="A1" s="87" t="s">
        <v>24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 ht="14.5" thickBot="1" x14ac:dyDescent="0.3">
      <c r="A2" s="102" t="s">
        <v>11</v>
      </c>
      <c r="B2" s="56" t="s">
        <v>5</v>
      </c>
      <c r="C2" s="94" t="s">
        <v>0</v>
      </c>
      <c r="D2" s="95"/>
      <c r="E2" s="96"/>
      <c r="F2" s="86" t="s">
        <v>31</v>
      </c>
      <c r="G2" s="86"/>
      <c r="H2" s="86"/>
      <c r="I2" s="99" t="s">
        <v>9</v>
      </c>
      <c r="J2" s="100"/>
      <c r="K2" s="101"/>
    </row>
    <row r="3" spans="1:11" ht="14.5" thickBot="1" x14ac:dyDescent="0.3">
      <c r="A3" s="90"/>
      <c r="B3" s="51" t="s">
        <v>13</v>
      </c>
      <c r="C3" s="52" t="s">
        <v>1</v>
      </c>
      <c r="D3" s="53" t="s">
        <v>2</v>
      </c>
      <c r="E3" s="54" t="s">
        <v>3</v>
      </c>
      <c r="F3" s="60" t="s">
        <v>13</v>
      </c>
      <c r="G3" s="59" t="s">
        <v>21</v>
      </c>
      <c r="H3" s="61" t="s">
        <v>3</v>
      </c>
      <c r="I3" s="55" t="s">
        <v>1</v>
      </c>
      <c r="J3" s="53" t="s">
        <v>2</v>
      </c>
      <c r="K3" s="54" t="s">
        <v>3</v>
      </c>
    </row>
    <row r="4" spans="1:11" ht="14" x14ac:dyDescent="0.25">
      <c r="A4" s="3" t="s">
        <v>6</v>
      </c>
      <c r="B4" s="3">
        <v>0</v>
      </c>
      <c r="C4" s="4">
        <v>0</v>
      </c>
      <c r="D4" s="154">
        <v>0</v>
      </c>
      <c r="E4" s="6"/>
      <c r="F4" s="175">
        <f>B4</f>
        <v>0</v>
      </c>
      <c r="G4" s="171">
        <v>0</v>
      </c>
      <c r="H4" s="27" t="s">
        <v>34</v>
      </c>
      <c r="I4" s="7">
        <f>B4</f>
        <v>0</v>
      </c>
      <c r="J4" s="154">
        <v>59</v>
      </c>
      <c r="K4" s="27">
        <f>I4/J4</f>
        <v>0</v>
      </c>
    </row>
    <row r="5" spans="1:11" ht="14" x14ac:dyDescent="0.25">
      <c r="A5" s="9" t="s">
        <v>10</v>
      </c>
      <c r="B5" s="9">
        <v>24</v>
      </c>
      <c r="C5" s="10">
        <v>0</v>
      </c>
      <c r="D5" s="155">
        <v>5</v>
      </c>
      <c r="E5" s="12"/>
      <c r="F5" s="175">
        <f t="shared" ref="F5:F7" si="0">B5</f>
        <v>24</v>
      </c>
      <c r="G5" s="174">
        <v>34</v>
      </c>
      <c r="H5" s="27">
        <f t="shared" ref="H5:H7" si="1">F5/G5</f>
        <v>0.70588235294117652</v>
      </c>
      <c r="I5" s="13">
        <f>B5</f>
        <v>24</v>
      </c>
      <c r="J5" s="155">
        <v>52</v>
      </c>
      <c r="K5" s="27">
        <f t="shared" ref="K5:K8" si="2">I5/J5</f>
        <v>0.46153846153846156</v>
      </c>
    </row>
    <row r="6" spans="1:11" ht="14" x14ac:dyDescent="0.25">
      <c r="A6" s="9" t="s">
        <v>4</v>
      </c>
      <c r="B6" s="9">
        <v>7</v>
      </c>
      <c r="C6" s="10">
        <v>0</v>
      </c>
      <c r="D6" s="155">
        <v>11</v>
      </c>
      <c r="E6" s="12"/>
      <c r="F6" s="175">
        <f t="shared" si="0"/>
        <v>7</v>
      </c>
      <c r="G6" s="174">
        <v>30</v>
      </c>
      <c r="H6" s="27">
        <f t="shared" si="1"/>
        <v>0.23333333333333334</v>
      </c>
      <c r="I6" s="13">
        <f>B6</f>
        <v>7</v>
      </c>
      <c r="J6" s="155">
        <v>7</v>
      </c>
      <c r="K6" s="27">
        <f t="shared" si="2"/>
        <v>1</v>
      </c>
    </row>
    <row r="7" spans="1:11" ht="14.5" thickBot="1" x14ac:dyDescent="0.3">
      <c r="A7" s="15" t="s">
        <v>20</v>
      </c>
      <c r="B7" s="15">
        <v>32</v>
      </c>
      <c r="C7" s="16">
        <v>0</v>
      </c>
      <c r="D7" s="156">
        <v>0</v>
      </c>
      <c r="E7" s="18"/>
      <c r="F7" s="175">
        <f t="shared" si="0"/>
        <v>32</v>
      </c>
      <c r="G7" s="174">
        <v>32</v>
      </c>
      <c r="H7" s="27">
        <f>F7/G7</f>
        <v>1</v>
      </c>
      <c r="I7" s="19">
        <f>B7</f>
        <v>32</v>
      </c>
      <c r="J7" s="156">
        <v>37</v>
      </c>
      <c r="K7" s="28">
        <f t="shared" si="2"/>
        <v>0.86486486486486491</v>
      </c>
    </row>
    <row r="8" spans="1:11" s="74" customFormat="1" ht="14.5" thickBot="1" x14ac:dyDescent="0.3">
      <c r="A8" s="21" t="s">
        <v>8</v>
      </c>
      <c r="B8" s="21">
        <f>SUM(B4:B7)</f>
        <v>63</v>
      </c>
      <c r="C8" s="70">
        <v>0</v>
      </c>
      <c r="D8" s="157">
        <f>SUM(D4:D7)</f>
        <v>16</v>
      </c>
      <c r="E8" s="72"/>
      <c r="F8" s="176">
        <f>SUM(F4:F7)</f>
        <v>63</v>
      </c>
      <c r="G8" s="173">
        <f>SUM(G4:G7)</f>
        <v>96</v>
      </c>
      <c r="H8" s="76">
        <f>F8/G8</f>
        <v>0.65625</v>
      </c>
      <c r="I8" s="73">
        <f>B8</f>
        <v>63</v>
      </c>
      <c r="J8" s="157">
        <f>SUM(J4:J7)</f>
        <v>155</v>
      </c>
      <c r="K8" s="76">
        <f t="shared" si="2"/>
        <v>0.40645161290322579</v>
      </c>
    </row>
  </sheetData>
  <mergeCells count="5">
    <mergeCell ref="A2:A3"/>
    <mergeCell ref="C2:E2"/>
    <mergeCell ref="I2:K2"/>
    <mergeCell ref="F2:H2"/>
    <mergeCell ref="A1:K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D521C-D3E5-4778-8433-BDC8F93EC7A8}">
  <dimension ref="A1:D4"/>
  <sheetViews>
    <sheetView workbookViewId="0">
      <selection activeCell="G4" sqref="G4"/>
    </sheetView>
  </sheetViews>
  <sheetFormatPr defaultRowHeight="12.5" x14ac:dyDescent="0.25"/>
  <cols>
    <col min="1" max="4" width="14.90625" style="1" customWidth="1"/>
  </cols>
  <sheetData>
    <row r="1" spans="1:4" ht="14.5" thickBot="1" x14ac:dyDescent="0.3">
      <c r="A1" s="87" t="s">
        <v>22</v>
      </c>
      <c r="B1" s="88"/>
      <c r="C1" s="88"/>
      <c r="D1" s="116"/>
    </row>
    <row r="2" spans="1:4" ht="14.5" thickBot="1" x14ac:dyDescent="0.3">
      <c r="A2" s="97" t="s">
        <v>11</v>
      </c>
      <c r="B2" s="94" t="s">
        <v>9</v>
      </c>
      <c r="C2" s="95"/>
      <c r="D2" s="96"/>
    </row>
    <row r="3" spans="1:4" ht="14.5" thickBot="1" x14ac:dyDescent="0.3">
      <c r="A3" s="98"/>
      <c r="B3" s="52" t="s">
        <v>1</v>
      </c>
      <c r="C3" s="53" t="s">
        <v>2</v>
      </c>
      <c r="D3" s="54" t="s">
        <v>3</v>
      </c>
    </row>
    <row r="4" spans="1:4" ht="14.5" thickBot="1" x14ac:dyDescent="0.3">
      <c r="A4" s="31" t="s">
        <v>6</v>
      </c>
      <c r="B4" s="37">
        <v>291</v>
      </c>
      <c r="C4" s="39">
        <v>1869</v>
      </c>
      <c r="D4" s="58">
        <f>B4/C4</f>
        <v>0.15569823434991975</v>
      </c>
    </row>
  </sheetData>
  <mergeCells count="3">
    <mergeCell ref="A1:D1"/>
    <mergeCell ref="A2:A3"/>
    <mergeCell ref="B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50EE-C3CC-404B-9A04-7C825200EC49}">
  <dimension ref="G1:J8"/>
  <sheetViews>
    <sheetView topLeftCell="AK1" workbookViewId="0">
      <selection activeCell="I29" sqref="I29"/>
    </sheetView>
  </sheetViews>
  <sheetFormatPr defaultRowHeight="12.5" x14ac:dyDescent="0.25"/>
  <cols>
    <col min="7" max="7" width="17.08984375" bestFit="1" customWidth="1"/>
  </cols>
  <sheetData>
    <row r="1" spans="7:10" ht="14.5" thickBot="1" x14ac:dyDescent="0.3">
      <c r="G1" s="87" t="s">
        <v>23</v>
      </c>
      <c r="H1" s="88"/>
      <c r="I1" s="88"/>
      <c r="J1" s="116"/>
    </row>
    <row r="2" spans="7:10" ht="14.5" thickBot="1" x14ac:dyDescent="0.3">
      <c r="G2" s="97" t="s">
        <v>11</v>
      </c>
      <c r="H2" s="94" t="s">
        <v>9</v>
      </c>
      <c r="I2" s="95"/>
      <c r="J2" s="96"/>
    </row>
    <row r="3" spans="7:10" ht="14.5" thickBot="1" x14ac:dyDescent="0.3">
      <c r="G3" s="98"/>
      <c r="H3" s="52" t="s">
        <v>1</v>
      </c>
      <c r="I3" s="53" t="s">
        <v>2</v>
      </c>
      <c r="J3" s="54" t="s">
        <v>3</v>
      </c>
    </row>
    <row r="4" spans="7:10" ht="14" x14ac:dyDescent="0.25">
      <c r="G4" s="2" t="s">
        <v>6</v>
      </c>
      <c r="H4" s="4" t="s">
        <v>29</v>
      </c>
      <c r="I4" s="4" t="s">
        <v>29</v>
      </c>
      <c r="J4" s="4" t="s">
        <v>29</v>
      </c>
    </row>
    <row r="5" spans="7:10" ht="14" x14ac:dyDescent="0.25">
      <c r="G5" s="8" t="s">
        <v>10</v>
      </c>
      <c r="H5" s="4" t="s">
        <v>29</v>
      </c>
      <c r="I5" s="4" t="s">
        <v>29</v>
      </c>
      <c r="J5" s="4" t="s">
        <v>29</v>
      </c>
    </row>
    <row r="6" spans="7:10" ht="14" x14ac:dyDescent="0.25">
      <c r="G6" s="8" t="s">
        <v>4</v>
      </c>
      <c r="H6" s="4" t="s">
        <v>29</v>
      </c>
      <c r="I6" s="4" t="s">
        <v>29</v>
      </c>
      <c r="J6" s="4" t="s">
        <v>29</v>
      </c>
    </row>
    <row r="7" spans="7:10" ht="14.5" thickBot="1" x14ac:dyDescent="0.3">
      <c r="G7" s="14" t="s">
        <v>7</v>
      </c>
      <c r="H7" s="4" t="s">
        <v>29</v>
      </c>
      <c r="I7" s="4" t="s">
        <v>29</v>
      </c>
      <c r="J7" s="4" t="s">
        <v>29</v>
      </c>
    </row>
    <row r="8" spans="7:10" ht="14.5" thickBot="1" x14ac:dyDescent="0.3">
      <c r="G8" s="20" t="s">
        <v>8</v>
      </c>
      <c r="H8" s="4" t="s">
        <v>29</v>
      </c>
      <c r="I8" s="4" t="s">
        <v>29</v>
      </c>
      <c r="J8" s="4" t="s">
        <v>29</v>
      </c>
    </row>
  </sheetData>
  <mergeCells count="3">
    <mergeCell ref="G1:J1"/>
    <mergeCell ref="G2:G3"/>
    <mergeCell ref="H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Parivartan- Trucks  </vt:lpstr>
      <vt:lpstr>Parivartan - Buses</vt:lpstr>
      <vt:lpstr>APCD</vt:lpstr>
      <vt:lpstr>OCEMS</vt:lpstr>
      <vt:lpstr>Road Remediation </vt:lpstr>
      <vt:lpstr>MRS</vt:lpstr>
      <vt:lpstr>SCC</vt:lpstr>
      <vt:lpstr>ICCC</vt:lpstr>
      <vt:lpstr>Greening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A-PAG</dc:creator>
  <cp:lastModifiedBy>A-PAG</cp:lastModifiedBy>
  <dcterms:created xsi:type="dcterms:W3CDTF">2026-08-31T13:20:28Z</dcterms:created>
  <dcterms:modified xsi:type="dcterms:W3CDTF">2026-09-02T07:47:48Z</dcterms:modified>
</cp:coreProperties>
</file>