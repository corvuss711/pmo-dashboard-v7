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-PAG\Desktop\"/>
    </mc:Choice>
  </mc:AlternateContent>
  <xr:revisionPtr revIDLastSave="0" documentId="8_{AB5A1093-8AE2-4EEF-AD56-AB4E0E659908}" xr6:coauthVersionLast="47" xr6:coauthVersionMax="47" xr10:uidLastSave="{00000000-0000-0000-0000-000000000000}"/>
  <bookViews>
    <workbookView xWindow="-110" yWindow="-110" windowWidth="19420" windowHeight="11500" tabRatio="850" xr2:uid="{00000000-000D-0000-FFFF-FFFF00000000}"/>
  </bookViews>
  <sheets>
    <sheet name="Parivartan- Trucks  " sheetId="1" r:id="rId1"/>
    <sheet name="Parivartan - Buses" sheetId="2" r:id="rId2"/>
    <sheet name="APCD" sheetId="3" r:id="rId3"/>
    <sheet name="OCEMS" sheetId="7" r:id="rId4"/>
    <sheet name="Road Remediation " sheetId="4" r:id="rId5"/>
    <sheet name="MRS" sheetId="5" r:id="rId6"/>
    <sheet name="SCC" sheetId="6" r:id="rId7"/>
    <sheet name="ICCC" sheetId="8" r:id="rId8"/>
    <sheet name="Greening " sheetId="9" r:id="rId9"/>
  </sheets>
  <calcPr calcId="181029"/>
</workbook>
</file>

<file path=xl/calcChain.xml><?xml version="1.0" encoding="utf-8"?>
<calcChain xmlns="http://schemas.openxmlformats.org/spreadsheetml/2006/main">
  <c r="N18" i="3" l="1"/>
  <c r="N15" i="3"/>
  <c r="N16" i="3"/>
  <c r="N17" i="3"/>
  <c r="N14" i="3"/>
  <c r="J15" i="5"/>
  <c r="J16" i="5"/>
  <c r="J17" i="5"/>
  <c r="J18" i="5"/>
  <c r="J14" i="5"/>
  <c r="I8" i="2"/>
  <c r="L8" i="2" s="1"/>
  <c r="N5" i="6"/>
  <c r="N6" i="6"/>
  <c r="N7" i="6"/>
  <c r="N8" i="6"/>
  <c r="N4" i="6"/>
  <c r="M8" i="6"/>
  <c r="P6" i="5"/>
  <c r="J5" i="6"/>
  <c r="J6" i="6"/>
  <c r="J7" i="6"/>
  <c r="J4" i="6"/>
  <c r="L5" i="4"/>
  <c r="L6" i="4"/>
  <c r="L7" i="4"/>
  <c r="L8" i="4"/>
  <c r="L4" i="4"/>
  <c r="L15" i="3"/>
  <c r="L16" i="3"/>
  <c r="L17" i="3"/>
  <c r="L18" i="3"/>
  <c r="L14" i="3"/>
  <c r="L5" i="2"/>
  <c r="L6" i="2"/>
  <c r="L7" i="2"/>
  <c r="L4" i="2"/>
  <c r="L5" i="1"/>
  <c r="L6" i="1"/>
  <c r="L7" i="1"/>
  <c r="L8" i="1"/>
  <c r="L4" i="1"/>
  <c r="L5" i="5"/>
  <c r="L6" i="5"/>
  <c r="L7" i="5"/>
  <c r="L4" i="5"/>
  <c r="D4" i="8"/>
  <c r="B8" i="5"/>
  <c r="N8" i="5" s="1"/>
  <c r="N5" i="5"/>
  <c r="P5" i="5" s="1"/>
  <c r="N6" i="5"/>
  <c r="N7" i="5"/>
  <c r="P7" i="5" s="1"/>
  <c r="N4" i="5"/>
  <c r="P4" i="5" s="1"/>
  <c r="N5" i="4"/>
  <c r="P5" i="4" s="1"/>
  <c r="N6" i="4"/>
  <c r="P6" i="4" s="1"/>
  <c r="N7" i="4"/>
  <c r="P7" i="4" s="1"/>
  <c r="N4" i="4"/>
  <c r="P4" i="4" s="1"/>
  <c r="B8" i="4"/>
  <c r="N8" i="4" s="1"/>
  <c r="P8" i="4" s="1"/>
  <c r="K15" i="5"/>
  <c r="K16" i="5"/>
  <c r="K17" i="5"/>
  <c r="K18" i="5"/>
  <c r="K14" i="5"/>
  <c r="L5" i="6"/>
  <c r="L6" i="6"/>
  <c r="L7" i="6"/>
  <c r="L4" i="6"/>
  <c r="B8" i="6"/>
  <c r="L8" i="6" s="1"/>
  <c r="C8" i="3"/>
  <c r="G8" i="6"/>
  <c r="D8" i="6"/>
  <c r="O8" i="5"/>
  <c r="I8" i="5"/>
  <c r="F8" i="5"/>
  <c r="O8" i="4"/>
  <c r="I8" i="4"/>
  <c r="F8" i="4"/>
  <c r="O18" i="3"/>
  <c r="I18" i="3"/>
  <c r="F18" i="3"/>
  <c r="C17" i="2"/>
  <c r="O8" i="2"/>
  <c r="F8" i="2"/>
  <c r="C8" i="2"/>
  <c r="C17" i="1"/>
  <c r="O8" i="1"/>
  <c r="I8" i="1"/>
  <c r="F8" i="1"/>
  <c r="C8" i="1"/>
  <c r="J8" i="6" l="1"/>
  <c r="L8" i="5"/>
  <c r="P8" i="5"/>
</calcChain>
</file>

<file path=xl/sharedStrings.xml><?xml version="1.0" encoding="utf-8"?>
<sst xmlns="http://schemas.openxmlformats.org/spreadsheetml/2006/main" count="308" uniqueCount="35">
  <si>
    <t xml:space="preserve">September </t>
  </si>
  <si>
    <t xml:space="preserve">October </t>
  </si>
  <si>
    <t>Actual</t>
  </si>
  <si>
    <t>Target</t>
  </si>
  <si>
    <t xml:space="preserve">%age </t>
  </si>
  <si>
    <t xml:space="preserve">Rajasthan </t>
  </si>
  <si>
    <t xml:space="preserve">Till July </t>
  </si>
  <si>
    <t xml:space="preserve">Delhi </t>
  </si>
  <si>
    <t xml:space="preserve">Uttar Pradesh </t>
  </si>
  <si>
    <t>Delhi NCR (Total)</t>
  </si>
  <si>
    <t xml:space="preserve">Aggregate </t>
  </si>
  <si>
    <t xml:space="preserve">Haryana </t>
  </si>
  <si>
    <t xml:space="preserve">Geography </t>
  </si>
  <si>
    <t xml:space="preserve">Pre-BS VI Trucks Converted </t>
  </si>
  <si>
    <t xml:space="preserve">Actual </t>
  </si>
  <si>
    <t xml:space="preserve">Trucks registered on portal </t>
  </si>
  <si>
    <t xml:space="preserve">Pre-BS VI Buses Converted </t>
  </si>
  <si>
    <t xml:space="preserve">Buses registered on portal </t>
  </si>
  <si>
    <t xml:space="preserve">Road length with end-to-end paving completed </t>
  </si>
  <si>
    <t xml:space="preserve">Number of MRS deployed for &gt;10m roads </t>
  </si>
  <si>
    <t xml:space="preserve">Route coverage achieved (%) for &gt;10m roads </t>
  </si>
  <si>
    <t xml:space="preserve">Utar Pradesh </t>
  </si>
  <si>
    <t xml:space="preserve">Target </t>
  </si>
  <si>
    <t xml:space="preserve">Sites compliant with identified interventions </t>
  </si>
  <si>
    <t>Area Greened (in ha)</t>
  </si>
  <si>
    <t xml:space="preserve">Number of SCCs to be Operationalised </t>
  </si>
  <si>
    <t xml:space="preserve">APCD installation completed </t>
  </si>
  <si>
    <t xml:space="preserve">Till date </t>
  </si>
  <si>
    <t>Actual (from API)</t>
  </si>
  <si>
    <t>Cumulative (Sep + Oct)</t>
  </si>
  <si>
    <t>Cumulative  (Sep + Oct)</t>
  </si>
  <si>
    <t xml:space="preserve">Units with applications submitted on portal </t>
  </si>
  <si>
    <t>Hard code</t>
  </si>
  <si>
    <t xml:space="preserve">No data </t>
  </si>
  <si>
    <t>Industries with no red alerts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</si>
</sst>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1"/>
      <color rgb="FF000000"/>
      <name val="Arial"/>
      <family val="2"/>
      <scheme val="major"/>
    </font>
    <font>
      <sz val="11"/>
      <color rgb="FF000000"/>
      <name val="Arial"/>
      <family val="2"/>
      <scheme val="major"/>
    </font>
    <font>
      <b/>
      <sz val="11"/>
      <color theme="1"/>
      <name val="Arial"/>
      <family val="2"/>
      <scheme val="major"/>
    </font>
    <font>
      <b/>
      <sz val="11"/>
      <name val="Arial"/>
      <family val="2"/>
      <scheme val="maj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0">
    <xf numFmtId="0" fontId="0" fillId="0" borderId="0" xfId="0"/>
    <xf numFmtId="0" fontId="0" fillId="0" borderId="0" xfId="0" applyAlignment="1">
      <alignment horizontal="center" vertical="center"/>
    </xf>
    <xf numFmtId="0" fontId="4" fillId="3" borderId="24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4" fillId="3" borderId="31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3" borderId="25" xfId="0" applyFont="1" applyFill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27" xfId="0" applyFont="1" applyFill="1" applyBorder="1" applyAlignment="1">
      <alignment horizontal="center" vertical="center"/>
    </xf>
    <xf numFmtId="0" fontId="5" fillId="0" borderId="19" xfId="0" applyFont="1" applyFill="1" applyBorder="1" applyAlignment="1">
      <alignment horizontal="center" vertical="center"/>
    </xf>
    <xf numFmtId="0" fontId="5" fillId="0" borderId="25" xfId="0" applyFont="1" applyFill="1" applyBorder="1" applyAlignment="1">
      <alignment horizontal="center" vertical="center"/>
    </xf>
    <xf numFmtId="0" fontId="5" fillId="0" borderId="46" xfId="0" applyFont="1" applyFill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33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5" fillId="0" borderId="32" xfId="0" applyFont="1" applyBorder="1" applyAlignment="1">
      <alignment horizontal="center" vertical="center"/>
    </xf>
    <xf numFmtId="0" fontId="4" fillId="0" borderId="39" xfId="0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4" fillId="3" borderId="20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4" fillId="2" borderId="39" xfId="0" applyFont="1" applyFill="1" applyBorder="1" applyAlignment="1">
      <alignment horizontal="center" vertical="center"/>
    </xf>
    <xf numFmtId="0" fontId="4" fillId="2" borderId="40" xfId="0" applyFont="1" applyFill="1" applyBorder="1" applyAlignment="1">
      <alignment horizontal="center" vertical="center"/>
    </xf>
    <xf numFmtId="0" fontId="4" fillId="2" borderId="35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4" borderId="39" xfId="0" applyFont="1" applyFill="1" applyBorder="1" applyAlignment="1">
      <alignment horizontal="center" vertical="center"/>
    </xf>
    <xf numFmtId="0" fontId="4" fillId="4" borderId="40" xfId="0" applyFont="1" applyFill="1" applyBorder="1" applyAlignment="1">
      <alignment horizontal="center" vertical="center"/>
    </xf>
    <xf numFmtId="0" fontId="4" fillId="4" borderId="41" xfId="0" applyFont="1" applyFill="1" applyBorder="1" applyAlignment="1">
      <alignment horizontal="center" vertical="center"/>
    </xf>
    <xf numFmtId="0" fontId="4" fillId="3" borderId="30" xfId="0" applyFont="1" applyFill="1" applyBorder="1" applyAlignment="1">
      <alignment horizontal="center" vertical="center"/>
    </xf>
    <xf numFmtId="0" fontId="4" fillId="3" borderId="49" xfId="0" applyFont="1" applyFill="1" applyBorder="1" applyAlignment="1">
      <alignment horizontal="center" vertical="center"/>
    </xf>
    <xf numFmtId="0" fontId="4" fillId="3" borderId="55" xfId="0" applyFont="1" applyFill="1" applyBorder="1" applyAlignment="1">
      <alignment horizontal="center" vertical="center"/>
    </xf>
    <xf numFmtId="0" fontId="4" fillId="3" borderId="56" xfId="0" applyFont="1" applyFill="1" applyBorder="1" applyAlignment="1">
      <alignment horizontal="center" vertical="center"/>
    </xf>
    <xf numFmtId="9" fontId="5" fillId="0" borderId="17" xfId="1" applyFont="1" applyBorder="1" applyAlignment="1">
      <alignment horizontal="center" vertical="center"/>
    </xf>
    <xf numFmtId="9" fontId="5" fillId="0" borderId="56" xfId="1" applyFont="1" applyBorder="1" applyAlignment="1">
      <alignment horizontal="center" vertical="center"/>
    </xf>
    <xf numFmtId="0" fontId="5" fillId="0" borderId="49" xfId="0" applyFont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5" fillId="0" borderId="38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5" fillId="0" borderId="58" xfId="0" applyFont="1" applyBorder="1" applyAlignment="1">
      <alignment horizontal="center" vertical="center"/>
    </xf>
    <xf numFmtId="0" fontId="5" fillId="0" borderId="59" xfId="0" applyFont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0" borderId="52" xfId="0" applyFont="1" applyBorder="1" applyAlignment="1">
      <alignment horizontal="center" vertical="center"/>
    </xf>
    <xf numFmtId="0" fontId="5" fillId="0" borderId="60" xfId="0" applyFont="1" applyBorder="1" applyAlignment="1">
      <alignment horizontal="center" vertical="center"/>
    </xf>
    <xf numFmtId="0" fontId="4" fillId="2" borderId="41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4" fillId="2" borderId="61" xfId="0" applyFont="1" applyFill="1" applyBorder="1" applyAlignment="1">
      <alignment horizontal="center" vertical="center"/>
    </xf>
    <xf numFmtId="0" fontId="4" fillId="2" borderId="52" xfId="0" applyFont="1" applyFill="1" applyBorder="1" applyAlignment="1">
      <alignment horizontal="center" vertical="center"/>
    </xf>
    <xf numFmtId="0" fontId="4" fillId="2" borderId="32" xfId="0" applyFont="1" applyFill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64" xfId="0" applyFont="1" applyFill="1" applyBorder="1" applyAlignment="1">
      <alignment horizontal="center" vertical="center"/>
    </xf>
    <xf numFmtId="0" fontId="5" fillId="0" borderId="56" xfId="0" applyFont="1" applyBorder="1" applyAlignment="1">
      <alignment horizontal="center" vertical="center"/>
    </xf>
    <xf numFmtId="0" fontId="5" fillId="0" borderId="30" xfId="0" applyFont="1" applyFill="1" applyBorder="1" applyAlignment="1">
      <alignment horizontal="center" vertical="center"/>
    </xf>
    <xf numFmtId="0" fontId="5" fillId="0" borderId="63" xfId="0" applyFont="1" applyBorder="1" applyAlignment="1">
      <alignment horizontal="center" vertical="center"/>
    </xf>
    <xf numFmtId="0" fontId="5" fillId="0" borderId="51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51" xfId="0" applyFont="1" applyBorder="1" applyAlignment="1">
      <alignment horizontal="center" vertical="center"/>
    </xf>
    <xf numFmtId="0" fontId="5" fillId="0" borderId="54" xfId="0" applyFont="1" applyBorder="1" applyAlignment="1">
      <alignment horizontal="center" vertical="center"/>
    </xf>
    <xf numFmtId="0" fontId="5" fillId="0" borderId="59" xfId="0" applyFont="1" applyBorder="1" applyAlignment="1">
      <alignment horizontal="center" vertical="center"/>
    </xf>
    <xf numFmtId="0" fontId="4" fillId="2" borderId="35" xfId="0" applyFont="1" applyFill="1" applyBorder="1" applyAlignment="1">
      <alignment vertical="center"/>
    </xf>
    <xf numFmtId="0" fontId="5" fillId="0" borderId="55" xfId="0" applyFont="1" applyBorder="1" applyAlignment="1">
      <alignment horizontal="center" vertical="center"/>
    </xf>
    <xf numFmtId="0" fontId="3" fillId="3" borderId="39" xfId="0" applyFont="1" applyFill="1" applyBorder="1" applyAlignment="1">
      <alignment horizontal="center" vertical="center"/>
    </xf>
    <xf numFmtId="0" fontId="3" fillId="3" borderId="41" xfId="0" applyFont="1" applyFill="1" applyBorder="1" applyAlignment="1">
      <alignment horizontal="center" vertical="center"/>
    </xf>
    <xf numFmtId="0" fontId="3" fillId="3" borderId="40" xfId="0" applyFont="1" applyFill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9" fontId="5" fillId="0" borderId="51" xfId="0" applyNumberFormat="1" applyFont="1" applyBorder="1" applyAlignment="1">
      <alignment horizontal="center" vertical="center"/>
    </xf>
    <xf numFmtId="9" fontId="5" fillId="0" borderId="42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7" fillId="3" borderId="36" xfId="0" applyFont="1" applyFill="1" applyBorder="1" applyAlignment="1">
      <alignment horizontal="center" vertical="center"/>
    </xf>
    <xf numFmtId="0" fontId="4" fillId="3" borderId="26" xfId="0" applyFont="1" applyFill="1" applyBorder="1" applyAlignment="1">
      <alignment horizontal="center" vertical="center"/>
    </xf>
    <xf numFmtId="0" fontId="4" fillId="3" borderId="28" xfId="0" applyFont="1" applyFill="1" applyBorder="1" applyAlignment="1">
      <alignment horizontal="center" vertical="center"/>
    </xf>
    <xf numFmtId="0" fontId="5" fillId="0" borderId="30" xfId="0" applyFont="1" applyFill="1" applyBorder="1" applyAlignment="1">
      <alignment horizontal="center" vertical="center"/>
    </xf>
    <xf numFmtId="0" fontId="5" fillId="0" borderId="64" xfId="0" applyFont="1" applyFill="1" applyBorder="1" applyAlignment="1">
      <alignment horizontal="center" vertical="center"/>
    </xf>
    <xf numFmtId="9" fontId="5" fillId="0" borderId="51" xfId="1" applyFont="1" applyBorder="1" applyAlignment="1">
      <alignment horizontal="center" vertical="center"/>
    </xf>
    <xf numFmtId="0" fontId="6" fillId="3" borderId="39" xfId="0" applyFont="1" applyFill="1" applyBorder="1" applyAlignment="1">
      <alignment horizontal="center" vertical="center"/>
    </xf>
    <xf numFmtId="0" fontId="6" fillId="3" borderId="40" xfId="0" applyFont="1" applyFill="1" applyBorder="1" applyAlignment="1">
      <alignment horizontal="center" vertical="center"/>
    </xf>
    <xf numFmtId="0" fontId="6" fillId="3" borderId="41" xfId="0" applyFont="1" applyFill="1" applyBorder="1" applyAlignment="1">
      <alignment horizontal="center" vertical="center"/>
    </xf>
    <xf numFmtId="0" fontId="7" fillId="3" borderId="39" xfId="0" applyFont="1" applyFill="1" applyBorder="1" applyAlignment="1">
      <alignment horizontal="center" vertical="center"/>
    </xf>
    <xf numFmtId="0" fontId="7" fillId="3" borderId="41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0" fontId="4" fillId="3" borderId="47" xfId="0" applyFont="1" applyFill="1" applyBorder="1" applyAlignment="1">
      <alignment horizontal="center" vertical="center"/>
    </xf>
    <xf numFmtId="0" fontId="6" fillId="3" borderId="63" xfId="0" applyFont="1" applyFill="1" applyBorder="1" applyAlignment="1">
      <alignment horizontal="center" vertical="center"/>
    </xf>
    <xf numFmtId="0" fontId="6" fillId="3" borderId="54" xfId="0" applyFont="1" applyFill="1" applyBorder="1" applyAlignment="1">
      <alignment horizontal="center" vertical="center"/>
    </xf>
    <xf numFmtId="0" fontId="6" fillId="3" borderId="62" xfId="0" applyFont="1" applyFill="1" applyBorder="1" applyAlignment="1">
      <alignment horizontal="center" vertical="center"/>
    </xf>
    <xf numFmtId="0" fontId="6" fillId="3" borderId="50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21" xfId="0" applyFont="1" applyFill="1" applyBorder="1" applyAlignment="1">
      <alignment horizontal="center" vertical="center"/>
    </xf>
    <xf numFmtId="0" fontId="7" fillId="3" borderId="22" xfId="0" applyFont="1" applyFill="1" applyBorder="1" applyAlignment="1">
      <alignment horizontal="center" vertical="center"/>
    </xf>
    <xf numFmtId="0" fontId="7" fillId="3" borderId="23" xfId="0" applyFont="1" applyFill="1" applyBorder="1" applyAlignment="1">
      <alignment horizontal="center" vertical="center"/>
    </xf>
    <xf numFmtId="0" fontId="4" fillId="3" borderId="35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horizontal="center" vertical="center"/>
    </xf>
    <xf numFmtId="0" fontId="4" fillId="3" borderId="23" xfId="0" applyFont="1" applyFill="1" applyBorder="1" applyAlignment="1">
      <alignment horizontal="center" vertical="center"/>
    </xf>
    <xf numFmtId="9" fontId="5" fillId="0" borderId="62" xfId="1" applyFont="1" applyBorder="1" applyAlignment="1">
      <alignment horizontal="center" vertical="center"/>
    </xf>
    <xf numFmtId="0" fontId="6" fillId="3" borderId="43" xfId="0" applyFont="1" applyFill="1" applyBorder="1" applyAlignment="1">
      <alignment horizontal="center" vertical="center"/>
    </xf>
    <xf numFmtId="0" fontId="6" fillId="3" borderId="45" xfId="0" applyFont="1" applyFill="1" applyBorder="1" applyAlignment="1">
      <alignment horizontal="center" vertical="center"/>
    </xf>
    <xf numFmtId="0" fontId="6" fillId="3" borderId="44" xfId="0" applyFont="1" applyFill="1" applyBorder="1" applyAlignment="1">
      <alignment horizontal="center" vertical="center"/>
    </xf>
    <xf numFmtId="0" fontId="4" fillId="3" borderId="21" xfId="0" applyFont="1" applyFill="1" applyBorder="1" applyAlignment="1">
      <alignment horizontal="center" vertical="center"/>
    </xf>
    <xf numFmtId="0" fontId="6" fillId="3" borderId="41" xfId="0" applyFont="1" applyFill="1" applyBorder="1" applyAlignment="1">
      <alignment horizontal="center" vertical="center"/>
    </xf>
    <xf numFmtId="0" fontId="6" fillId="3" borderId="28" xfId="0" applyFont="1" applyFill="1" applyBorder="1" applyAlignment="1">
      <alignment horizontal="center" vertical="center"/>
    </xf>
    <xf numFmtId="0" fontId="6" fillId="3" borderId="48" xfId="0" applyFont="1" applyFill="1" applyBorder="1" applyAlignment="1">
      <alignment horizontal="center" vertical="center"/>
    </xf>
    <xf numFmtId="0" fontId="6" fillId="3" borderId="57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6" fillId="3" borderId="45" xfId="0" applyFont="1" applyFill="1" applyBorder="1" applyAlignment="1">
      <alignment horizontal="center" vertical="center"/>
    </xf>
    <xf numFmtId="0" fontId="6" fillId="3" borderId="43" xfId="0" applyFont="1" applyFill="1" applyBorder="1" applyAlignment="1">
      <alignment horizontal="center" vertical="center"/>
    </xf>
    <xf numFmtId="0" fontId="6" fillId="3" borderId="44" xfId="0" applyFont="1" applyFill="1" applyBorder="1" applyAlignment="1">
      <alignment horizontal="center" vertical="center"/>
    </xf>
    <xf numFmtId="0" fontId="4" fillId="3" borderId="45" xfId="0" applyFont="1" applyFill="1" applyBorder="1" applyAlignment="1">
      <alignment horizontal="center" vertical="center"/>
    </xf>
    <xf numFmtId="0" fontId="4" fillId="3" borderId="43" xfId="0" applyFont="1" applyFill="1" applyBorder="1" applyAlignment="1">
      <alignment horizontal="center" vertical="center"/>
    </xf>
    <xf numFmtId="0" fontId="4" fillId="3" borderId="44" xfId="0" applyFont="1" applyFill="1" applyBorder="1" applyAlignment="1">
      <alignment horizontal="center" vertical="center"/>
    </xf>
    <xf numFmtId="0" fontId="3" fillId="3" borderId="63" xfId="0" applyFont="1" applyFill="1" applyBorder="1" applyAlignment="1">
      <alignment horizontal="center" vertical="center"/>
    </xf>
    <xf numFmtId="0" fontId="3" fillId="3" borderId="62" xfId="0" applyFont="1" applyFill="1" applyBorder="1" applyAlignment="1">
      <alignment horizontal="center" vertical="center"/>
    </xf>
    <xf numFmtId="0" fontId="3" fillId="3" borderId="50" xfId="0" applyFont="1" applyFill="1" applyBorder="1" applyAlignment="1">
      <alignment horizontal="center" vertical="center"/>
    </xf>
    <xf numFmtId="9" fontId="5" fillId="0" borderId="17" xfId="0" applyNumberFormat="1" applyFont="1" applyBorder="1" applyAlignment="1">
      <alignment horizontal="center" vertical="center"/>
    </xf>
    <xf numFmtId="9" fontId="5" fillId="0" borderId="56" xfId="0" applyNumberFormat="1" applyFont="1" applyBorder="1" applyAlignment="1">
      <alignment horizontal="center" vertical="center"/>
    </xf>
    <xf numFmtId="9" fontId="5" fillId="0" borderId="7" xfId="0" applyNumberFormat="1" applyFont="1" applyBorder="1" applyAlignment="1">
      <alignment horizontal="center" vertical="center"/>
    </xf>
    <xf numFmtId="0" fontId="6" fillId="3" borderId="21" xfId="0" applyFont="1" applyFill="1" applyBorder="1" applyAlignment="1">
      <alignment horizontal="center" vertical="center"/>
    </xf>
    <xf numFmtId="0" fontId="6" fillId="3" borderId="22" xfId="0" applyFont="1" applyFill="1" applyBorder="1" applyAlignment="1">
      <alignment horizontal="center" vertical="center"/>
    </xf>
    <xf numFmtId="0" fontId="6" fillId="3" borderId="23" xfId="0" applyFont="1" applyFill="1" applyBorder="1" applyAlignment="1">
      <alignment horizontal="center" vertical="center"/>
    </xf>
    <xf numFmtId="0" fontId="6" fillId="3" borderId="35" xfId="0" applyFont="1" applyFill="1" applyBorder="1" applyAlignment="1">
      <alignment horizontal="center" vertical="center"/>
    </xf>
    <xf numFmtId="0" fontId="5" fillId="5" borderId="16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33" xfId="0" applyFont="1" applyFill="1" applyBorder="1" applyAlignment="1">
      <alignment horizontal="center" vertical="center"/>
    </xf>
    <xf numFmtId="0" fontId="5" fillId="5" borderId="51" xfId="0" applyFont="1" applyFill="1" applyBorder="1" applyAlignment="1">
      <alignment horizontal="center" vertical="center"/>
    </xf>
    <xf numFmtId="0" fontId="5" fillId="5" borderId="11" xfId="0" applyFont="1" applyFill="1" applyBorder="1" applyAlignment="1">
      <alignment horizontal="center" vertical="center"/>
    </xf>
    <xf numFmtId="0" fontId="5" fillId="5" borderId="0" xfId="0" applyFont="1" applyFill="1" applyBorder="1" applyAlignment="1">
      <alignment horizontal="center" vertical="center"/>
    </xf>
    <xf numFmtId="0" fontId="5" fillId="5" borderId="29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9" fontId="0" fillId="5" borderId="17" xfId="0" applyNumberFormat="1" applyFill="1" applyBorder="1" applyAlignment="1">
      <alignment horizontal="center" vertical="center"/>
    </xf>
    <xf numFmtId="9" fontId="0" fillId="5" borderId="7" xfId="0" applyNumberFormat="1" applyFill="1" applyBorder="1" applyAlignment="1">
      <alignment horizontal="center" vertical="center"/>
    </xf>
    <xf numFmtId="9" fontId="0" fillId="5" borderId="34" xfId="0" applyNumberFormat="1" applyFill="1" applyBorder="1" applyAlignment="1">
      <alignment horizontal="center" vertical="center"/>
    </xf>
    <xf numFmtId="9" fontId="0" fillId="5" borderId="5" xfId="0" applyNumberFormat="1" applyFill="1" applyBorder="1" applyAlignment="1">
      <alignment horizontal="center" vertical="center"/>
    </xf>
    <xf numFmtId="9" fontId="0" fillId="5" borderId="53" xfId="0" applyNumberForma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4" fillId="5" borderId="22" xfId="0" applyFont="1" applyFill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4" fillId="0" borderId="40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9" fontId="4" fillId="0" borderId="23" xfId="1" applyFont="1" applyBorder="1" applyAlignment="1">
      <alignment horizontal="center" vertical="center"/>
    </xf>
    <xf numFmtId="0" fontId="4" fillId="5" borderId="40" xfId="0" applyFont="1" applyFill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4" fillId="5" borderId="23" xfId="0" applyFont="1" applyFill="1" applyBorder="1" applyAlignment="1">
      <alignment horizontal="center" vertical="center"/>
    </xf>
    <xf numFmtId="9" fontId="4" fillId="0" borderId="2" xfId="1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9" fontId="3" fillId="5" borderId="23" xfId="0" applyNumberFormat="1" applyFont="1" applyFill="1" applyBorder="1" applyAlignment="1">
      <alignment horizontal="center" vertical="center"/>
    </xf>
    <xf numFmtId="9" fontId="4" fillId="0" borderId="23" xfId="0" applyNumberFormat="1" applyFont="1" applyBorder="1" applyAlignment="1">
      <alignment horizontal="center" vertical="center"/>
    </xf>
    <xf numFmtId="9" fontId="4" fillId="0" borderId="41" xfId="0" applyNumberFormat="1" applyFont="1" applyBorder="1" applyAlignment="1">
      <alignment horizontal="center" vertical="center"/>
    </xf>
    <xf numFmtId="0" fontId="3" fillId="0" borderId="35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65" xfId="0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P17"/>
  <sheetViews>
    <sheetView tabSelected="1" workbookViewId="0">
      <selection activeCell="I16" sqref="I16"/>
    </sheetView>
  </sheetViews>
  <sheetFormatPr defaultColWidth="12.6328125" defaultRowHeight="15.75" customHeight="1" x14ac:dyDescent="0.25"/>
  <cols>
    <col min="1" max="1" width="17.08984375" style="43" bestFit="1" customWidth="1"/>
    <col min="2" max="2" width="8.36328125" style="43" bestFit="1" customWidth="1"/>
    <col min="3" max="4" width="7.36328125" style="43" bestFit="1" customWidth="1"/>
    <col min="5" max="5" width="6.36328125" style="43" bestFit="1" customWidth="1"/>
    <col min="6" max="6" width="6.6328125" style="43" bestFit="1" customWidth="1"/>
    <col min="7" max="7" width="6.90625" style="43" bestFit="1" customWidth="1"/>
    <col min="8" max="8" width="6.36328125" style="43" bestFit="1" customWidth="1"/>
    <col min="9" max="9" width="6.6328125" style="43" bestFit="1" customWidth="1"/>
    <col min="10" max="10" width="10" style="43" bestFit="1" customWidth="1"/>
    <col min="11" max="13" width="10.36328125" style="43" customWidth="1"/>
    <col min="14" max="14" width="6.36328125" style="43" bestFit="1" customWidth="1"/>
    <col min="15" max="15" width="7.36328125" style="43" bestFit="1" customWidth="1"/>
    <col min="16" max="16" width="6.453125" style="43" bestFit="1" customWidth="1"/>
    <col min="17" max="17" width="6.36328125" style="43" bestFit="1" customWidth="1"/>
    <col min="18" max="16384" width="12.6328125" style="43"/>
  </cols>
  <sheetData>
    <row r="1" spans="1:16" ht="15.75" customHeight="1" thickBot="1" x14ac:dyDescent="0.3">
      <c r="A1" s="40" t="s">
        <v>13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87"/>
    </row>
    <row r="2" spans="1:16" ht="15.75" customHeight="1" thickBot="1" x14ac:dyDescent="0.3">
      <c r="A2" s="2" t="s">
        <v>12</v>
      </c>
      <c r="B2" s="119" t="s">
        <v>27</v>
      </c>
      <c r="C2" s="120"/>
      <c r="D2" s="121"/>
      <c r="E2" s="119" t="s">
        <v>0</v>
      </c>
      <c r="F2" s="120"/>
      <c r="G2" s="121"/>
      <c r="H2" s="119" t="s">
        <v>1</v>
      </c>
      <c r="I2" s="120"/>
      <c r="J2" s="121"/>
      <c r="K2" s="73" t="s">
        <v>29</v>
      </c>
      <c r="L2" s="73"/>
      <c r="M2" s="73"/>
      <c r="N2" s="122" t="s">
        <v>10</v>
      </c>
      <c r="O2" s="123"/>
      <c r="P2" s="124"/>
    </row>
    <row r="3" spans="1:16" ht="14.5" thickBot="1" x14ac:dyDescent="0.3">
      <c r="A3" s="9"/>
      <c r="B3" s="148" t="s">
        <v>2</v>
      </c>
      <c r="C3" s="149" t="s">
        <v>3</v>
      </c>
      <c r="D3" s="150" t="s">
        <v>4</v>
      </c>
      <c r="E3" s="148" t="s">
        <v>2</v>
      </c>
      <c r="F3" s="149" t="s">
        <v>3</v>
      </c>
      <c r="G3" s="150" t="s">
        <v>4</v>
      </c>
      <c r="H3" s="148" t="s">
        <v>2</v>
      </c>
      <c r="I3" s="149" t="s">
        <v>3</v>
      </c>
      <c r="J3" s="150" t="s">
        <v>4</v>
      </c>
      <c r="K3" s="148" t="s">
        <v>2</v>
      </c>
      <c r="L3" s="149" t="s">
        <v>3</v>
      </c>
      <c r="M3" s="130" t="s">
        <v>4</v>
      </c>
      <c r="N3" s="151" t="s">
        <v>2</v>
      </c>
      <c r="O3" s="149" t="s">
        <v>3</v>
      </c>
      <c r="P3" s="150" t="s">
        <v>4</v>
      </c>
    </row>
    <row r="4" spans="1:16" ht="15.75" customHeight="1" x14ac:dyDescent="0.25">
      <c r="A4" s="10" t="s">
        <v>7</v>
      </c>
      <c r="B4" s="12" t="s">
        <v>33</v>
      </c>
      <c r="C4" s="13">
        <v>1276</v>
      </c>
      <c r="D4" s="14"/>
      <c r="E4" s="12"/>
      <c r="F4" s="152">
        <v>1914</v>
      </c>
      <c r="G4" s="14"/>
      <c r="H4" s="12"/>
      <c r="I4" s="13">
        <v>3190</v>
      </c>
      <c r="J4" s="14"/>
      <c r="K4" s="12"/>
      <c r="L4" s="13">
        <f>C4+F4+I4</f>
        <v>6380</v>
      </c>
      <c r="M4" s="84"/>
      <c r="N4" s="12" t="s">
        <v>33</v>
      </c>
      <c r="O4" s="152">
        <v>63795</v>
      </c>
      <c r="P4" s="14"/>
    </row>
    <row r="5" spans="1:16" ht="15.75" customHeight="1" x14ac:dyDescent="0.25">
      <c r="A5" s="16" t="s">
        <v>11</v>
      </c>
      <c r="B5" s="12" t="s">
        <v>33</v>
      </c>
      <c r="C5" s="19">
        <v>1751</v>
      </c>
      <c r="D5" s="20"/>
      <c r="E5" s="18"/>
      <c r="F5" s="153">
        <v>2627</v>
      </c>
      <c r="G5" s="20"/>
      <c r="H5" s="18"/>
      <c r="I5" s="19">
        <v>4378</v>
      </c>
      <c r="J5" s="20"/>
      <c r="K5" s="18"/>
      <c r="L5" s="19">
        <f t="shared" ref="L5:L8" si="0">C5+F5+I5</f>
        <v>8756</v>
      </c>
      <c r="M5" s="84"/>
      <c r="N5" s="12" t="s">
        <v>33</v>
      </c>
      <c r="O5" s="153">
        <v>87554</v>
      </c>
      <c r="P5" s="20"/>
    </row>
    <row r="6" spans="1:16" ht="15.75" customHeight="1" x14ac:dyDescent="0.25">
      <c r="A6" s="22" t="s">
        <v>5</v>
      </c>
      <c r="B6" s="12" t="s">
        <v>33</v>
      </c>
      <c r="C6" s="19">
        <v>140</v>
      </c>
      <c r="D6" s="20"/>
      <c r="E6" s="18"/>
      <c r="F6" s="153">
        <v>210</v>
      </c>
      <c r="G6" s="20"/>
      <c r="H6" s="18"/>
      <c r="I6" s="19">
        <v>350</v>
      </c>
      <c r="J6" s="20"/>
      <c r="K6" s="18"/>
      <c r="L6" s="19">
        <f t="shared" si="0"/>
        <v>700</v>
      </c>
      <c r="M6" s="86"/>
      <c r="N6" s="12" t="s">
        <v>33</v>
      </c>
      <c r="O6" s="153">
        <v>6997</v>
      </c>
      <c r="P6" s="20"/>
    </row>
    <row r="7" spans="1:16" ht="15.75" customHeight="1" thickBot="1" x14ac:dyDescent="0.3">
      <c r="A7" s="24" t="s">
        <v>8</v>
      </c>
      <c r="B7" s="92" t="s">
        <v>33</v>
      </c>
      <c r="C7" s="27">
        <v>658</v>
      </c>
      <c r="D7" s="28"/>
      <c r="E7" s="26"/>
      <c r="F7" s="154">
        <v>987</v>
      </c>
      <c r="G7" s="28"/>
      <c r="H7" s="26"/>
      <c r="I7" s="27">
        <v>1645</v>
      </c>
      <c r="J7" s="28"/>
      <c r="K7" s="92"/>
      <c r="L7" s="27">
        <f t="shared" si="0"/>
        <v>3290</v>
      </c>
      <c r="M7" s="93"/>
      <c r="N7" s="92" t="s">
        <v>33</v>
      </c>
      <c r="O7" s="154">
        <v>32893</v>
      </c>
      <c r="P7" s="28"/>
    </row>
    <row r="8" spans="1:16" ht="15.75" customHeight="1" thickBot="1" x14ac:dyDescent="0.3">
      <c r="A8" s="30" t="s">
        <v>9</v>
      </c>
      <c r="B8" s="32" t="s">
        <v>33</v>
      </c>
      <c r="C8" s="168">
        <f>SUM(C4:C7)</f>
        <v>3825</v>
      </c>
      <c r="D8" s="169"/>
      <c r="E8" s="167"/>
      <c r="F8" s="166">
        <f>SUM(F4:F7)</f>
        <v>5738</v>
      </c>
      <c r="G8" s="169"/>
      <c r="H8" s="167"/>
      <c r="I8" s="168">
        <f>SUM(I4:I7)</f>
        <v>9563</v>
      </c>
      <c r="J8" s="169"/>
      <c r="K8" s="167"/>
      <c r="L8" s="168">
        <f t="shared" si="0"/>
        <v>19126</v>
      </c>
      <c r="M8" s="170"/>
      <c r="N8" s="32" t="s">
        <v>33</v>
      </c>
      <c r="O8" s="166">
        <f>SUM(O4:O7)</f>
        <v>191239</v>
      </c>
      <c r="P8" s="169"/>
    </row>
    <row r="9" spans="1:16" ht="15.75" customHeight="1" thickBot="1" x14ac:dyDescent="0.3"/>
    <row r="10" spans="1:16" ht="15.75" customHeight="1" thickBot="1" x14ac:dyDescent="0.3">
      <c r="A10" s="44" t="s">
        <v>15</v>
      </c>
      <c r="B10" s="45"/>
      <c r="C10" s="45"/>
      <c r="D10" s="46"/>
    </row>
    <row r="11" spans="1:16" ht="15.75" customHeight="1" thickBot="1" x14ac:dyDescent="0.3">
      <c r="A11" s="47" t="s">
        <v>12</v>
      </c>
      <c r="B11" s="48" t="s">
        <v>10</v>
      </c>
      <c r="C11" s="49"/>
      <c r="D11" s="50"/>
    </row>
    <row r="12" spans="1:16" ht="15.75" customHeight="1" thickBot="1" x14ac:dyDescent="0.3">
      <c r="A12" s="36"/>
      <c r="B12" s="151" t="s">
        <v>2</v>
      </c>
      <c r="C12" s="149" t="s">
        <v>3</v>
      </c>
      <c r="D12" s="150" t="s">
        <v>4</v>
      </c>
    </row>
    <row r="13" spans="1:16" ht="15.75" customHeight="1" x14ac:dyDescent="0.25">
      <c r="A13" s="11" t="s">
        <v>7</v>
      </c>
      <c r="B13" s="12" t="s">
        <v>33</v>
      </c>
      <c r="C13" s="152">
        <v>63795</v>
      </c>
      <c r="D13" s="14"/>
    </row>
    <row r="14" spans="1:16" ht="15.75" customHeight="1" x14ac:dyDescent="0.25">
      <c r="A14" s="17" t="s">
        <v>11</v>
      </c>
      <c r="B14" s="12" t="s">
        <v>33</v>
      </c>
      <c r="C14" s="153">
        <v>87554</v>
      </c>
      <c r="D14" s="20"/>
    </row>
    <row r="15" spans="1:16" ht="15.75" customHeight="1" x14ac:dyDescent="0.25">
      <c r="A15" s="23" t="s">
        <v>5</v>
      </c>
      <c r="B15" s="12" t="s">
        <v>33</v>
      </c>
      <c r="C15" s="153">
        <v>6997</v>
      </c>
      <c r="D15" s="20"/>
    </row>
    <row r="16" spans="1:16" ht="15.75" customHeight="1" thickBot="1" x14ac:dyDescent="0.3">
      <c r="A16" s="25" t="s">
        <v>8</v>
      </c>
      <c r="B16" s="92" t="s">
        <v>33</v>
      </c>
      <c r="C16" s="154">
        <v>32893</v>
      </c>
      <c r="D16" s="28"/>
    </row>
    <row r="17" spans="1:10" ht="15.75" customHeight="1" thickBot="1" x14ac:dyDescent="0.3">
      <c r="A17" s="31" t="s">
        <v>9</v>
      </c>
      <c r="B17" s="32" t="s">
        <v>33</v>
      </c>
      <c r="C17" s="166">
        <f>SUM(C13:C16)</f>
        <v>191239</v>
      </c>
      <c r="D17" s="33"/>
      <c r="I17" s="165"/>
      <c r="J17" s="43" t="s">
        <v>32</v>
      </c>
    </row>
  </sheetData>
  <mergeCells count="10">
    <mergeCell ref="A10:D10"/>
    <mergeCell ref="K2:M2"/>
    <mergeCell ref="A1:O1"/>
    <mergeCell ref="A11:A12"/>
    <mergeCell ref="B11:D11"/>
    <mergeCell ref="B2:D2"/>
    <mergeCell ref="A2:A3"/>
    <mergeCell ref="N2:P2"/>
    <mergeCell ref="E2:G2"/>
    <mergeCell ref="H2:J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C69AD-B52C-4F2E-81B9-5F90088E9BE9}">
  <dimension ref="A1:Q17"/>
  <sheetViews>
    <sheetView workbookViewId="0">
      <selection activeCell="A17" sqref="A17:D17"/>
    </sheetView>
  </sheetViews>
  <sheetFormatPr defaultRowHeight="12.5" x14ac:dyDescent="0.25"/>
  <cols>
    <col min="1" max="1" width="17.08984375" style="1" bestFit="1" customWidth="1"/>
    <col min="2" max="16384" width="8.7265625" style="1"/>
  </cols>
  <sheetData>
    <row r="1" spans="1:17" ht="14.5" thickBot="1" x14ac:dyDescent="0.3">
      <c r="A1" s="40" t="s">
        <v>16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2"/>
    </row>
    <row r="2" spans="1:17" ht="14.5" thickBot="1" x14ac:dyDescent="0.3">
      <c r="A2" s="35" t="s">
        <v>12</v>
      </c>
      <c r="B2" s="119" t="s">
        <v>27</v>
      </c>
      <c r="C2" s="120"/>
      <c r="D2" s="121"/>
      <c r="E2" s="119" t="s">
        <v>0</v>
      </c>
      <c r="F2" s="120"/>
      <c r="G2" s="121"/>
      <c r="H2" s="119" t="s">
        <v>1</v>
      </c>
      <c r="I2" s="120"/>
      <c r="J2" s="121"/>
      <c r="K2" s="73" t="s">
        <v>29</v>
      </c>
      <c r="L2" s="73"/>
      <c r="M2" s="73"/>
      <c r="N2" s="122" t="s">
        <v>10</v>
      </c>
      <c r="O2" s="123"/>
      <c r="P2" s="124"/>
    </row>
    <row r="3" spans="1:17" ht="14.5" thickBot="1" x14ac:dyDescent="0.3">
      <c r="A3" s="36"/>
      <c r="B3" s="114" t="s">
        <v>2</v>
      </c>
      <c r="C3" s="115" t="s">
        <v>3</v>
      </c>
      <c r="D3" s="116" t="s">
        <v>4</v>
      </c>
      <c r="E3" s="114" t="s">
        <v>2</v>
      </c>
      <c r="F3" s="115" t="s">
        <v>3</v>
      </c>
      <c r="G3" s="116" t="s">
        <v>4</v>
      </c>
      <c r="H3" s="114" t="s">
        <v>2</v>
      </c>
      <c r="I3" s="115" t="s">
        <v>3</v>
      </c>
      <c r="J3" s="116" t="s">
        <v>4</v>
      </c>
      <c r="K3" s="115" t="s">
        <v>2</v>
      </c>
      <c r="L3" s="115" t="s">
        <v>3</v>
      </c>
      <c r="M3" s="117" t="s">
        <v>4</v>
      </c>
      <c r="N3" s="117" t="s">
        <v>2</v>
      </c>
      <c r="O3" s="115" t="s">
        <v>3</v>
      </c>
      <c r="P3" s="116" t="s">
        <v>4</v>
      </c>
    </row>
    <row r="4" spans="1:17" ht="14" x14ac:dyDescent="0.25">
      <c r="A4" s="11" t="s">
        <v>7</v>
      </c>
      <c r="B4" s="12" t="s">
        <v>33</v>
      </c>
      <c r="C4" s="13">
        <v>0</v>
      </c>
      <c r="D4" s="14"/>
      <c r="E4" s="12"/>
      <c r="F4" s="152">
        <v>0</v>
      </c>
      <c r="G4" s="14"/>
      <c r="H4" s="12"/>
      <c r="I4" s="13">
        <v>5</v>
      </c>
      <c r="J4" s="14"/>
      <c r="K4" s="13"/>
      <c r="L4" s="13">
        <f>C4+F4+I4</f>
        <v>5</v>
      </c>
      <c r="M4" s="15"/>
      <c r="N4" s="12" t="s">
        <v>33</v>
      </c>
      <c r="O4" s="152">
        <v>11</v>
      </c>
      <c r="P4" s="14"/>
    </row>
    <row r="5" spans="1:17" ht="14" x14ac:dyDescent="0.25">
      <c r="A5" s="17" t="s">
        <v>11</v>
      </c>
      <c r="B5" s="12" t="s">
        <v>33</v>
      </c>
      <c r="C5" s="19">
        <v>212</v>
      </c>
      <c r="D5" s="20"/>
      <c r="E5" s="18"/>
      <c r="F5" s="153">
        <v>319</v>
      </c>
      <c r="G5" s="20"/>
      <c r="H5" s="18"/>
      <c r="I5" s="19">
        <v>531</v>
      </c>
      <c r="J5" s="20"/>
      <c r="K5" s="19"/>
      <c r="L5" s="19">
        <f t="shared" ref="L5:L8" si="0">C5+F5+I5</f>
        <v>1062</v>
      </c>
      <c r="M5" s="15"/>
      <c r="N5" s="12" t="s">
        <v>33</v>
      </c>
      <c r="O5" s="153">
        <v>10619</v>
      </c>
      <c r="P5" s="20"/>
    </row>
    <row r="6" spans="1:17" ht="14" x14ac:dyDescent="0.25">
      <c r="A6" s="23" t="s">
        <v>5</v>
      </c>
      <c r="B6" s="12" t="s">
        <v>33</v>
      </c>
      <c r="C6" s="19">
        <v>31</v>
      </c>
      <c r="D6" s="20"/>
      <c r="E6" s="18"/>
      <c r="F6" s="153">
        <v>46</v>
      </c>
      <c r="G6" s="20"/>
      <c r="H6" s="18"/>
      <c r="I6" s="19">
        <v>77</v>
      </c>
      <c r="J6" s="20"/>
      <c r="K6" s="19"/>
      <c r="L6" s="19">
        <f t="shared" si="0"/>
        <v>154</v>
      </c>
      <c r="M6" s="21"/>
      <c r="N6" s="12" t="s">
        <v>33</v>
      </c>
      <c r="O6" s="153">
        <v>1538</v>
      </c>
      <c r="P6" s="20"/>
    </row>
    <row r="7" spans="1:17" ht="14.5" thickBot="1" x14ac:dyDescent="0.3">
      <c r="A7" s="25" t="s">
        <v>8</v>
      </c>
      <c r="B7" s="92" t="s">
        <v>33</v>
      </c>
      <c r="C7" s="27">
        <v>83</v>
      </c>
      <c r="D7" s="28"/>
      <c r="E7" s="26"/>
      <c r="F7" s="154">
        <v>125</v>
      </c>
      <c r="G7" s="28"/>
      <c r="H7" s="26"/>
      <c r="I7" s="27">
        <v>208</v>
      </c>
      <c r="J7" s="28"/>
      <c r="K7" s="88"/>
      <c r="L7" s="27">
        <f t="shared" si="0"/>
        <v>416</v>
      </c>
      <c r="M7" s="53"/>
      <c r="N7" s="92" t="s">
        <v>33</v>
      </c>
      <c r="O7" s="154">
        <v>4161</v>
      </c>
      <c r="P7" s="28"/>
    </row>
    <row r="8" spans="1:17" s="172" customFormat="1" ht="14.5" thickBot="1" x14ac:dyDescent="0.3">
      <c r="A8" s="31" t="s">
        <v>9</v>
      </c>
      <c r="B8" s="32" t="s">
        <v>33</v>
      </c>
      <c r="C8" s="168">
        <f>SUM(C4:C7)</f>
        <v>326</v>
      </c>
      <c r="D8" s="169"/>
      <c r="E8" s="167"/>
      <c r="F8" s="166">
        <f>SUM(F4:F7)</f>
        <v>490</v>
      </c>
      <c r="G8" s="169"/>
      <c r="H8" s="167"/>
      <c r="I8" s="168">
        <f>SUM(I4:I7)</f>
        <v>821</v>
      </c>
      <c r="J8" s="169"/>
      <c r="K8" s="168"/>
      <c r="L8" s="168">
        <f t="shared" si="0"/>
        <v>1637</v>
      </c>
      <c r="M8" s="171"/>
      <c r="N8" s="32" t="s">
        <v>33</v>
      </c>
      <c r="O8" s="166">
        <f>SUM(O4:O7)</f>
        <v>16329</v>
      </c>
      <c r="P8" s="169"/>
    </row>
    <row r="9" spans="1:17" ht="14.5" thickBot="1" x14ac:dyDescent="0.3">
      <c r="A9" s="43"/>
      <c r="B9" s="43"/>
      <c r="C9" s="43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</row>
    <row r="10" spans="1:17" ht="14.5" thickBot="1" x14ac:dyDescent="0.3">
      <c r="A10" s="44" t="s">
        <v>17</v>
      </c>
      <c r="B10" s="45"/>
      <c r="C10" s="45"/>
      <c r="D10" s="46"/>
      <c r="E10" s="43"/>
      <c r="F10" s="43"/>
      <c r="G10" s="43"/>
      <c r="H10" s="43"/>
      <c r="I10" s="43"/>
      <c r="J10" s="43"/>
      <c r="K10" s="43"/>
      <c r="L10" s="43"/>
      <c r="M10" s="43"/>
      <c r="N10" s="43"/>
      <c r="O10" s="43"/>
      <c r="P10" s="43"/>
    </row>
    <row r="11" spans="1:17" ht="14" x14ac:dyDescent="0.25">
      <c r="A11" s="35" t="s">
        <v>12</v>
      </c>
      <c r="B11" s="6" t="s">
        <v>10</v>
      </c>
      <c r="C11" s="7"/>
      <c r="D11" s="8"/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</row>
    <row r="12" spans="1:17" ht="14.5" thickBot="1" x14ac:dyDescent="0.3">
      <c r="A12" s="36"/>
      <c r="B12" s="112" t="s">
        <v>2</v>
      </c>
      <c r="C12" s="110" t="s">
        <v>3</v>
      </c>
      <c r="D12" s="111" t="s">
        <v>4</v>
      </c>
      <c r="E12" s="43"/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</row>
    <row r="13" spans="1:17" ht="14" x14ac:dyDescent="0.25">
      <c r="A13" s="11" t="s">
        <v>7</v>
      </c>
      <c r="B13" s="15" t="s">
        <v>33</v>
      </c>
      <c r="C13" s="152">
        <v>11</v>
      </c>
      <c r="D13" s="14"/>
      <c r="E13" s="43"/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43"/>
    </row>
    <row r="14" spans="1:17" ht="14" x14ac:dyDescent="0.25">
      <c r="A14" s="17" t="s">
        <v>11</v>
      </c>
      <c r="B14" s="15" t="s">
        <v>33</v>
      </c>
      <c r="C14" s="153">
        <v>10619</v>
      </c>
      <c r="D14" s="20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</row>
    <row r="15" spans="1:17" ht="14" x14ac:dyDescent="0.25">
      <c r="A15" s="23" t="s">
        <v>5</v>
      </c>
      <c r="B15" s="15" t="s">
        <v>33</v>
      </c>
      <c r="C15" s="153">
        <v>1538</v>
      </c>
      <c r="D15" s="20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</row>
    <row r="16" spans="1:17" ht="14.5" thickBot="1" x14ac:dyDescent="0.3">
      <c r="A16" s="25" t="s">
        <v>8</v>
      </c>
      <c r="B16" s="53" t="s">
        <v>33</v>
      </c>
      <c r="C16" s="154">
        <v>4161</v>
      </c>
      <c r="D16" s="28"/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3"/>
    </row>
    <row r="17" spans="1:16" s="172" customFormat="1" ht="14.5" thickBot="1" x14ac:dyDescent="0.3">
      <c r="A17" s="31" t="s">
        <v>9</v>
      </c>
      <c r="B17" s="34" t="s">
        <v>33</v>
      </c>
      <c r="C17" s="166">
        <f>SUM(C13:C16)</f>
        <v>16329</v>
      </c>
      <c r="D17" s="169"/>
      <c r="E17" s="173"/>
      <c r="F17" s="173"/>
      <c r="G17" s="173"/>
      <c r="H17" s="173"/>
      <c r="I17" s="173"/>
      <c r="J17" s="173"/>
      <c r="K17" s="173"/>
      <c r="L17" s="173"/>
      <c r="M17" s="173"/>
      <c r="N17" s="173"/>
      <c r="O17" s="173"/>
      <c r="P17" s="173"/>
    </row>
  </sheetData>
  <mergeCells count="10">
    <mergeCell ref="A11:A12"/>
    <mergeCell ref="B11:D11"/>
    <mergeCell ref="A10:D10"/>
    <mergeCell ref="K2:M2"/>
    <mergeCell ref="A1:P1"/>
    <mergeCell ref="A2:A3"/>
    <mergeCell ref="B2:D2"/>
    <mergeCell ref="E2:G2"/>
    <mergeCell ref="H2:J2"/>
    <mergeCell ref="N2:P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88F56-2183-4AFE-8D8D-8F12DEE73F25}">
  <dimension ref="A1:P18"/>
  <sheetViews>
    <sheetView workbookViewId="0">
      <selection activeCell="N19" sqref="N19"/>
    </sheetView>
  </sheetViews>
  <sheetFormatPr defaultRowHeight="12.5" x14ac:dyDescent="0.25"/>
  <cols>
    <col min="1" max="1" width="17.08984375" style="1" bestFit="1" customWidth="1"/>
    <col min="2" max="16384" width="8.7265625" style="1"/>
  </cols>
  <sheetData>
    <row r="1" spans="1:16" ht="14.5" thickBot="1" x14ac:dyDescent="0.3">
      <c r="A1" s="40" t="s">
        <v>26</v>
      </c>
      <c r="B1" s="41"/>
      <c r="C1" s="41"/>
      <c r="D1" s="69"/>
    </row>
    <row r="2" spans="1:16" ht="14.5" thickBot="1" x14ac:dyDescent="0.3">
      <c r="A2" s="2" t="s">
        <v>12</v>
      </c>
      <c r="B2" s="119" t="s">
        <v>10</v>
      </c>
      <c r="C2" s="120"/>
      <c r="D2" s="121"/>
    </row>
    <row r="3" spans="1:16" ht="14.5" thickBot="1" x14ac:dyDescent="0.3">
      <c r="A3" s="9"/>
      <c r="B3" s="114" t="s">
        <v>2</v>
      </c>
      <c r="C3" s="115" t="s">
        <v>3</v>
      </c>
      <c r="D3" s="116" t="s">
        <v>4</v>
      </c>
    </row>
    <row r="4" spans="1:16" ht="14" x14ac:dyDescent="0.25">
      <c r="A4" s="10" t="s">
        <v>7</v>
      </c>
      <c r="B4" s="12">
        <v>0</v>
      </c>
      <c r="C4" s="152">
        <v>48</v>
      </c>
      <c r="D4" s="14"/>
    </row>
    <row r="5" spans="1:16" ht="14" x14ac:dyDescent="0.25">
      <c r="A5" s="16" t="s">
        <v>11</v>
      </c>
      <c r="B5" s="18">
        <v>0</v>
      </c>
      <c r="C5" s="153">
        <v>1229</v>
      </c>
      <c r="D5" s="20"/>
    </row>
    <row r="6" spans="1:16" ht="14" x14ac:dyDescent="0.25">
      <c r="A6" s="22" t="s">
        <v>5</v>
      </c>
      <c r="B6" s="18">
        <v>0</v>
      </c>
      <c r="C6" s="153">
        <v>244</v>
      </c>
      <c r="D6" s="20"/>
    </row>
    <row r="7" spans="1:16" ht="14.5" thickBot="1" x14ac:dyDescent="0.3">
      <c r="A7" s="24" t="s">
        <v>8</v>
      </c>
      <c r="B7" s="26">
        <v>0</v>
      </c>
      <c r="C7" s="154">
        <v>600</v>
      </c>
      <c r="D7" s="28"/>
    </row>
    <row r="8" spans="1:16" s="172" customFormat="1" ht="14.5" thickBot="1" x14ac:dyDescent="0.3">
      <c r="A8" s="30" t="s">
        <v>9</v>
      </c>
      <c r="B8" s="167">
        <v>0</v>
      </c>
      <c r="C8" s="166">
        <f>SUM(C4:C7)</f>
        <v>2121</v>
      </c>
      <c r="D8" s="169"/>
    </row>
    <row r="10" spans="1:16" ht="13" thickBot="1" x14ac:dyDescent="0.3"/>
    <row r="11" spans="1:16" ht="14.5" thickBot="1" x14ac:dyDescent="0.3">
      <c r="A11" s="40" t="s">
        <v>31</v>
      </c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2"/>
    </row>
    <row r="12" spans="1:16" ht="14.5" thickBot="1" x14ac:dyDescent="0.3">
      <c r="A12" s="99" t="s">
        <v>12</v>
      </c>
      <c r="B12" s="119" t="s">
        <v>27</v>
      </c>
      <c r="C12" s="120"/>
      <c r="D12" s="121"/>
      <c r="E12" s="119" t="s">
        <v>0</v>
      </c>
      <c r="F12" s="120"/>
      <c r="G12" s="121"/>
      <c r="H12" s="119" t="s">
        <v>1</v>
      </c>
      <c r="I12" s="120"/>
      <c r="J12" s="121"/>
      <c r="K12" s="73" t="s">
        <v>29</v>
      </c>
      <c r="L12" s="73"/>
      <c r="M12" s="73"/>
      <c r="N12" s="122" t="s">
        <v>10</v>
      </c>
      <c r="O12" s="123"/>
      <c r="P12" s="124"/>
    </row>
    <row r="13" spans="1:16" ht="14.5" thickBot="1" x14ac:dyDescent="0.3">
      <c r="A13" s="100"/>
      <c r="B13" s="136" t="s">
        <v>2</v>
      </c>
      <c r="C13" s="137"/>
      <c r="D13" s="138"/>
      <c r="E13" s="114" t="s">
        <v>2</v>
      </c>
      <c r="F13" s="115" t="s">
        <v>3</v>
      </c>
      <c r="G13" s="116" t="s">
        <v>4</v>
      </c>
      <c r="H13" s="114" t="s">
        <v>2</v>
      </c>
      <c r="I13" s="115" t="s">
        <v>3</v>
      </c>
      <c r="J13" s="116" t="s">
        <v>4</v>
      </c>
      <c r="K13" s="114" t="s">
        <v>2</v>
      </c>
      <c r="L13" s="115" t="s">
        <v>3</v>
      </c>
      <c r="M13" s="128" t="s">
        <v>4</v>
      </c>
      <c r="N13" s="117" t="s">
        <v>2</v>
      </c>
      <c r="O13" s="115" t="s">
        <v>3</v>
      </c>
      <c r="P13" s="116" t="s">
        <v>4</v>
      </c>
    </row>
    <row r="14" spans="1:16" ht="14" x14ac:dyDescent="0.25">
      <c r="A14" s="77" t="s">
        <v>7</v>
      </c>
      <c r="B14" s="83">
        <v>0</v>
      </c>
      <c r="C14" s="97"/>
      <c r="D14" s="82"/>
      <c r="E14" s="12"/>
      <c r="F14" s="152">
        <v>24</v>
      </c>
      <c r="G14" s="14"/>
      <c r="H14" s="12"/>
      <c r="I14" s="13">
        <v>24</v>
      </c>
      <c r="J14" s="14"/>
      <c r="K14" s="12"/>
      <c r="L14" s="13">
        <f>F14+I14</f>
        <v>48</v>
      </c>
      <c r="M14" s="84"/>
      <c r="N14" s="15">
        <f>B14</f>
        <v>0</v>
      </c>
      <c r="O14" s="152">
        <v>48</v>
      </c>
      <c r="P14" s="14"/>
    </row>
    <row r="15" spans="1:16" ht="14" x14ac:dyDescent="0.25">
      <c r="A15" s="16" t="s">
        <v>11</v>
      </c>
      <c r="B15" s="58">
        <v>0</v>
      </c>
      <c r="C15" s="59"/>
      <c r="D15" s="60"/>
      <c r="E15" s="18"/>
      <c r="F15" s="153">
        <v>614</v>
      </c>
      <c r="G15" s="20"/>
      <c r="H15" s="18"/>
      <c r="I15" s="19">
        <v>615</v>
      </c>
      <c r="J15" s="20"/>
      <c r="K15" s="18"/>
      <c r="L15" s="19">
        <f t="shared" ref="L15:L18" si="0">F15+I15</f>
        <v>1229</v>
      </c>
      <c r="M15" s="84"/>
      <c r="N15" s="15">
        <f t="shared" ref="N15:N17" si="1">B15</f>
        <v>0</v>
      </c>
      <c r="O15" s="153">
        <v>1229</v>
      </c>
      <c r="P15" s="20"/>
    </row>
    <row r="16" spans="1:16" ht="14" x14ac:dyDescent="0.25">
      <c r="A16" s="22" t="s">
        <v>5</v>
      </c>
      <c r="B16" s="58">
        <v>0</v>
      </c>
      <c r="C16" s="59"/>
      <c r="D16" s="60"/>
      <c r="E16" s="18"/>
      <c r="F16" s="153">
        <v>122</v>
      </c>
      <c r="G16" s="20"/>
      <c r="H16" s="18"/>
      <c r="I16" s="19">
        <v>122</v>
      </c>
      <c r="J16" s="20"/>
      <c r="K16" s="18"/>
      <c r="L16" s="19">
        <f t="shared" si="0"/>
        <v>244</v>
      </c>
      <c r="M16" s="86"/>
      <c r="N16" s="15">
        <f t="shared" si="1"/>
        <v>0</v>
      </c>
      <c r="O16" s="153">
        <v>244</v>
      </c>
      <c r="P16" s="20"/>
    </row>
    <row r="17" spans="1:16" ht="14.5" thickBot="1" x14ac:dyDescent="0.3">
      <c r="A17" s="24" t="s">
        <v>8</v>
      </c>
      <c r="B17" s="66">
        <v>0</v>
      </c>
      <c r="C17" s="67"/>
      <c r="D17" s="68"/>
      <c r="E17" s="26"/>
      <c r="F17" s="154">
        <v>300</v>
      </c>
      <c r="G17" s="28"/>
      <c r="H17" s="26"/>
      <c r="I17" s="27">
        <v>300</v>
      </c>
      <c r="J17" s="28"/>
      <c r="K17" s="92"/>
      <c r="L17" s="27">
        <f t="shared" si="0"/>
        <v>600</v>
      </c>
      <c r="M17" s="93"/>
      <c r="N17" s="15">
        <f t="shared" si="1"/>
        <v>0</v>
      </c>
      <c r="O17" s="154">
        <v>600</v>
      </c>
      <c r="P17" s="28"/>
    </row>
    <row r="18" spans="1:16" s="172" customFormat="1" ht="14.5" thickBot="1" x14ac:dyDescent="0.3">
      <c r="A18" s="30" t="s">
        <v>9</v>
      </c>
      <c r="B18" s="174">
        <v>0</v>
      </c>
      <c r="C18" s="175"/>
      <c r="D18" s="176"/>
      <c r="E18" s="167"/>
      <c r="F18" s="166">
        <f>SUM(F14:F17)</f>
        <v>1060</v>
      </c>
      <c r="G18" s="169"/>
      <c r="H18" s="167"/>
      <c r="I18" s="168">
        <f>SUM(I14:I17)</f>
        <v>1061</v>
      </c>
      <c r="J18" s="169"/>
      <c r="K18" s="167"/>
      <c r="L18" s="168">
        <f t="shared" si="0"/>
        <v>2121</v>
      </c>
      <c r="M18" s="170"/>
      <c r="N18" s="171">
        <f>SUM(N14:N17)</f>
        <v>0</v>
      </c>
      <c r="O18" s="166">
        <f>SUM(O14:O17)</f>
        <v>2121</v>
      </c>
      <c r="P18" s="169"/>
    </row>
  </sheetData>
  <mergeCells count="16">
    <mergeCell ref="B15:D15"/>
    <mergeCell ref="B16:D16"/>
    <mergeCell ref="B17:D17"/>
    <mergeCell ref="B18:D18"/>
    <mergeCell ref="K12:M12"/>
    <mergeCell ref="A1:D1"/>
    <mergeCell ref="B13:D13"/>
    <mergeCell ref="B14:D14"/>
    <mergeCell ref="A12:A13"/>
    <mergeCell ref="B12:D12"/>
    <mergeCell ref="E12:G12"/>
    <mergeCell ref="H12:J12"/>
    <mergeCell ref="N12:P12"/>
    <mergeCell ref="A11:P11"/>
    <mergeCell ref="A2:A3"/>
    <mergeCell ref="B2:D2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5856F-3F4B-45C1-BB4D-A15D862DE52E}">
  <dimension ref="A1:D8"/>
  <sheetViews>
    <sheetView workbookViewId="0">
      <selection activeCell="B4" sqref="B4:D8"/>
    </sheetView>
  </sheetViews>
  <sheetFormatPr defaultRowHeight="12.5" x14ac:dyDescent="0.25"/>
  <cols>
    <col min="1" max="1" width="17.08984375" style="1" bestFit="1" customWidth="1"/>
    <col min="2" max="16384" width="8.7265625" style="1"/>
  </cols>
  <sheetData>
    <row r="1" spans="1:4" ht="14.5" thickBot="1" x14ac:dyDescent="0.3">
      <c r="A1" s="40" t="s">
        <v>34</v>
      </c>
      <c r="B1" s="41"/>
      <c r="C1" s="41"/>
      <c r="D1" s="69"/>
    </row>
    <row r="2" spans="1:4" ht="14" x14ac:dyDescent="0.25">
      <c r="A2" s="2" t="s">
        <v>12</v>
      </c>
      <c r="B2" s="3" t="s">
        <v>10</v>
      </c>
      <c r="C2" s="4"/>
      <c r="D2" s="5"/>
    </row>
    <row r="3" spans="1:4" ht="14.5" thickBot="1" x14ac:dyDescent="0.3">
      <c r="A3" s="9"/>
      <c r="B3" s="109" t="s">
        <v>2</v>
      </c>
      <c r="C3" s="110" t="s">
        <v>3</v>
      </c>
      <c r="D3" s="111" t="s">
        <v>4</v>
      </c>
    </row>
    <row r="4" spans="1:4" ht="14" x14ac:dyDescent="0.25">
      <c r="A4" s="10" t="s">
        <v>7</v>
      </c>
      <c r="B4" s="12" t="s">
        <v>33</v>
      </c>
      <c r="C4" s="12" t="s">
        <v>33</v>
      </c>
      <c r="D4" s="12" t="s">
        <v>33</v>
      </c>
    </row>
    <row r="5" spans="1:4" ht="14" x14ac:dyDescent="0.25">
      <c r="A5" s="16" t="s">
        <v>11</v>
      </c>
      <c r="B5" s="12" t="s">
        <v>33</v>
      </c>
      <c r="C5" s="12" t="s">
        <v>33</v>
      </c>
      <c r="D5" s="12" t="s">
        <v>33</v>
      </c>
    </row>
    <row r="6" spans="1:4" ht="14" x14ac:dyDescent="0.25">
      <c r="A6" s="22" t="s">
        <v>5</v>
      </c>
      <c r="B6" s="12" t="s">
        <v>33</v>
      </c>
      <c r="C6" s="12" t="s">
        <v>33</v>
      </c>
      <c r="D6" s="12" t="s">
        <v>33</v>
      </c>
    </row>
    <row r="7" spans="1:4" ht="14.5" thickBot="1" x14ac:dyDescent="0.3">
      <c r="A7" s="24" t="s">
        <v>8</v>
      </c>
      <c r="B7" s="12" t="s">
        <v>33</v>
      </c>
      <c r="C7" s="12" t="s">
        <v>33</v>
      </c>
      <c r="D7" s="12" t="s">
        <v>33</v>
      </c>
    </row>
    <row r="8" spans="1:4" s="172" customFormat="1" ht="14.5" thickBot="1" x14ac:dyDescent="0.3">
      <c r="A8" s="30" t="s">
        <v>9</v>
      </c>
      <c r="B8" s="12" t="s">
        <v>33</v>
      </c>
      <c r="C8" s="12" t="s">
        <v>33</v>
      </c>
      <c r="D8" s="12" t="s">
        <v>33</v>
      </c>
    </row>
  </sheetData>
  <mergeCells count="3">
    <mergeCell ref="A1:D1"/>
    <mergeCell ref="A2:A3"/>
    <mergeCell ref="B2:D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48BEB-AD2E-4402-90C9-F30F07E1B863}">
  <dimension ref="A1:P8"/>
  <sheetViews>
    <sheetView workbookViewId="0">
      <selection activeCell="E18" sqref="E18"/>
    </sheetView>
  </sheetViews>
  <sheetFormatPr defaultRowHeight="12.5" x14ac:dyDescent="0.25"/>
  <cols>
    <col min="1" max="1" width="17.08984375" style="1" bestFit="1" customWidth="1"/>
    <col min="2" max="16384" width="8.7265625" style="1"/>
  </cols>
  <sheetData>
    <row r="1" spans="1:16" ht="14.5" thickBot="1" x14ac:dyDescent="0.3">
      <c r="A1" s="40" t="s">
        <v>18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2"/>
    </row>
    <row r="2" spans="1:16" ht="14" x14ac:dyDescent="0.25">
      <c r="A2" s="2" t="s">
        <v>12</v>
      </c>
      <c r="B2" s="3" t="s">
        <v>27</v>
      </c>
      <c r="C2" s="4"/>
      <c r="D2" s="5"/>
      <c r="E2" s="3" t="s">
        <v>0</v>
      </c>
      <c r="F2" s="4"/>
      <c r="G2" s="5"/>
      <c r="H2" s="3" t="s">
        <v>1</v>
      </c>
      <c r="I2" s="4"/>
      <c r="J2" s="5"/>
      <c r="K2" s="98" t="s">
        <v>29</v>
      </c>
      <c r="L2" s="98"/>
      <c r="M2" s="98"/>
      <c r="N2" s="6" t="s">
        <v>10</v>
      </c>
      <c r="O2" s="7"/>
      <c r="P2" s="8"/>
    </row>
    <row r="3" spans="1:16" ht="14.5" thickBot="1" x14ac:dyDescent="0.3">
      <c r="A3" s="9"/>
      <c r="B3" s="131" t="s">
        <v>2</v>
      </c>
      <c r="C3" s="132"/>
      <c r="D3" s="133"/>
      <c r="E3" s="109" t="s">
        <v>2</v>
      </c>
      <c r="F3" s="110" t="s">
        <v>3</v>
      </c>
      <c r="G3" s="111" t="s">
        <v>4</v>
      </c>
      <c r="H3" s="109" t="s">
        <v>2</v>
      </c>
      <c r="I3" s="110" t="s">
        <v>3</v>
      </c>
      <c r="J3" s="111" t="s">
        <v>4</v>
      </c>
      <c r="K3" s="134" t="s">
        <v>2</v>
      </c>
      <c r="L3" s="134" t="s">
        <v>3</v>
      </c>
      <c r="M3" s="135" t="s">
        <v>4</v>
      </c>
      <c r="N3" s="112" t="s">
        <v>2</v>
      </c>
      <c r="O3" s="110" t="s">
        <v>3</v>
      </c>
      <c r="P3" s="111" t="s">
        <v>4</v>
      </c>
    </row>
    <row r="4" spans="1:16" ht="14" x14ac:dyDescent="0.25">
      <c r="A4" s="10" t="s">
        <v>7</v>
      </c>
      <c r="B4" s="55">
        <v>965</v>
      </c>
      <c r="C4" s="56"/>
      <c r="D4" s="57"/>
      <c r="E4" s="12">
        <v>0</v>
      </c>
      <c r="F4" s="152">
        <v>613</v>
      </c>
      <c r="G4" s="14"/>
      <c r="H4" s="12"/>
      <c r="I4" s="13">
        <v>613</v>
      </c>
      <c r="J4" s="14"/>
      <c r="K4" s="19"/>
      <c r="L4" s="19">
        <f>F4+I4</f>
        <v>1226</v>
      </c>
      <c r="M4" s="21"/>
      <c r="N4" s="15">
        <f>B4</f>
        <v>965</v>
      </c>
      <c r="O4" s="152">
        <v>3065</v>
      </c>
      <c r="P4" s="51">
        <f>N4/O4</f>
        <v>0.31484502446982054</v>
      </c>
    </row>
    <row r="5" spans="1:16" ht="14" x14ac:dyDescent="0.25">
      <c r="A5" s="16" t="s">
        <v>8</v>
      </c>
      <c r="B5" s="58">
        <v>418</v>
      </c>
      <c r="C5" s="59"/>
      <c r="D5" s="60"/>
      <c r="E5" s="18">
        <v>0</v>
      </c>
      <c r="F5" s="153">
        <v>358</v>
      </c>
      <c r="G5" s="20"/>
      <c r="H5" s="18"/>
      <c r="I5" s="19">
        <v>358</v>
      </c>
      <c r="J5" s="20"/>
      <c r="K5" s="19"/>
      <c r="L5" s="19">
        <f t="shared" ref="L5:L8" si="0">F5+I5</f>
        <v>716</v>
      </c>
      <c r="M5" s="15"/>
      <c r="N5" s="15">
        <f t="shared" ref="N5:N8" si="1">B5</f>
        <v>418</v>
      </c>
      <c r="O5" s="153">
        <v>1792</v>
      </c>
      <c r="P5" s="51">
        <f t="shared" ref="P5:P8" si="2">N5/O5</f>
        <v>0.23325892857142858</v>
      </c>
    </row>
    <row r="6" spans="1:16" ht="14" x14ac:dyDescent="0.25">
      <c r="A6" s="22" t="s">
        <v>11</v>
      </c>
      <c r="B6" s="58">
        <v>594</v>
      </c>
      <c r="C6" s="59"/>
      <c r="D6" s="60"/>
      <c r="E6" s="18">
        <v>0</v>
      </c>
      <c r="F6" s="153">
        <v>233</v>
      </c>
      <c r="G6" s="20"/>
      <c r="H6" s="18"/>
      <c r="I6" s="19">
        <v>233</v>
      </c>
      <c r="J6" s="20"/>
      <c r="K6" s="19"/>
      <c r="L6" s="19">
        <f t="shared" si="0"/>
        <v>466</v>
      </c>
      <c r="M6" s="21"/>
      <c r="N6" s="15">
        <f t="shared" si="1"/>
        <v>594</v>
      </c>
      <c r="O6" s="153">
        <v>1693</v>
      </c>
      <c r="P6" s="51">
        <f t="shared" si="2"/>
        <v>0.35085646780862373</v>
      </c>
    </row>
    <row r="7" spans="1:16" ht="14.5" thickBot="1" x14ac:dyDescent="0.3">
      <c r="A7" s="24" t="s">
        <v>5</v>
      </c>
      <c r="B7" s="66">
        <v>61</v>
      </c>
      <c r="C7" s="67"/>
      <c r="D7" s="68"/>
      <c r="E7" s="26">
        <v>0</v>
      </c>
      <c r="F7" s="154">
        <v>50</v>
      </c>
      <c r="G7" s="28"/>
      <c r="H7" s="26"/>
      <c r="I7" s="27">
        <v>50</v>
      </c>
      <c r="J7" s="28"/>
      <c r="K7" s="88"/>
      <c r="L7" s="27">
        <f t="shared" si="0"/>
        <v>100</v>
      </c>
      <c r="M7" s="53"/>
      <c r="N7" s="53">
        <f t="shared" si="1"/>
        <v>61</v>
      </c>
      <c r="O7" s="154">
        <v>307</v>
      </c>
      <c r="P7" s="52">
        <f t="shared" si="2"/>
        <v>0.1986970684039088</v>
      </c>
    </row>
    <row r="8" spans="1:16" s="172" customFormat="1" ht="14.5" thickBot="1" x14ac:dyDescent="0.3">
      <c r="A8" s="30" t="s">
        <v>9</v>
      </c>
      <c r="B8" s="174">
        <f>SUM(B4:B7)</f>
        <v>2038</v>
      </c>
      <c r="C8" s="175"/>
      <c r="D8" s="176"/>
      <c r="E8" s="167">
        <v>0</v>
      </c>
      <c r="F8" s="166">
        <f>SUM(F4:F7)</f>
        <v>1254</v>
      </c>
      <c r="G8" s="169"/>
      <c r="H8" s="167"/>
      <c r="I8" s="168">
        <f>SUM(I4:I7)</f>
        <v>1254</v>
      </c>
      <c r="J8" s="169"/>
      <c r="K8" s="168"/>
      <c r="L8" s="168">
        <f t="shared" si="0"/>
        <v>2508</v>
      </c>
      <c r="M8" s="171"/>
      <c r="N8" s="171">
        <f t="shared" si="1"/>
        <v>2038</v>
      </c>
      <c r="O8" s="166">
        <f>SUM(O4:O7)</f>
        <v>6857</v>
      </c>
      <c r="P8" s="177">
        <f t="shared" si="2"/>
        <v>0.29721452530261044</v>
      </c>
    </row>
  </sheetData>
  <mergeCells count="13">
    <mergeCell ref="B4:D4"/>
    <mergeCell ref="B5:D5"/>
    <mergeCell ref="B6:D6"/>
    <mergeCell ref="B7:D7"/>
    <mergeCell ref="B8:D8"/>
    <mergeCell ref="K2:M2"/>
    <mergeCell ref="A2:A3"/>
    <mergeCell ref="B2:D2"/>
    <mergeCell ref="E2:G2"/>
    <mergeCell ref="H2:J2"/>
    <mergeCell ref="N2:P2"/>
    <mergeCell ref="A1:P1"/>
    <mergeCell ref="B3:D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37C18-2755-4DA4-BAA3-BE8A1FDE0015}">
  <dimension ref="A1:P19"/>
  <sheetViews>
    <sheetView topLeftCell="A2" workbookViewId="0">
      <selection activeCell="O21" sqref="O21"/>
    </sheetView>
  </sheetViews>
  <sheetFormatPr defaultRowHeight="12.5" x14ac:dyDescent="0.25"/>
  <cols>
    <col min="1" max="1" width="17.08984375" style="1" bestFit="1" customWidth="1"/>
    <col min="2" max="4" width="8.7265625" style="1"/>
    <col min="5" max="5" width="10.6328125" style="1" bestFit="1" customWidth="1"/>
    <col min="6" max="9" width="8.7265625" style="1"/>
    <col min="10" max="10" width="6.453125" style="1" bestFit="1" customWidth="1"/>
    <col min="11" max="16384" width="8.7265625" style="1"/>
  </cols>
  <sheetData>
    <row r="1" spans="1:16" ht="14.5" thickBot="1" x14ac:dyDescent="0.3">
      <c r="A1" s="74" t="s">
        <v>19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6"/>
    </row>
    <row r="2" spans="1:16" ht="14.5" thickBot="1" x14ac:dyDescent="0.3">
      <c r="A2" s="35" t="s">
        <v>12</v>
      </c>
      <c r="B2" s="104" t="s">
        <v>27</v>
      </c>
      <c r="C2" s="105"/>
      <c r="D2" s="106"/>
      <c r="E2" s="119" t="s">
        <v>0</v>
      </c>
      <c r="F2" s="120"/>
      <c r="G2" s="121"/>
      <c r="H2" s="119" t="s">
        <v>1</v>
      </c>
      <c r="I2" s="120"/>
      <c r="J2" s="121"/>
      <c r="K2" s="73" t="s">
        <v>29</v>
      </c>
      <c r="L2" s="73"/>
      <c r="M2" s="73"/>
      <c r="N2" s="129" t="s">
        <v>10</v>
      </c>
      <c r="O2" s="123"/>
      <c r="P2" s="124"/>
    </row>
    <row r="3" spans="1:16" ht="14.5" thickBot="1" x14ac:dyDescent="0.3">
      <c r="A3" s="36"/>
      <c r="B3" s="136" t="s">
        <v>28</v>
      </c>
      <c r="C3" s="137"/>
      <c r="D3" s="138"/>
      <c r="E3" s="114" t="s">
        <v>2</v>
      </c>
      <c r="F3" s="115" t="s">
        <v>3</v>
      </c>
      <c r="G3" s="116" t="s">
        <v>4</v>
      </c>
      <c r="H3" s="114" t="s">
        <v>2</v>
      </c>
      <c r="I3" s="115" t="s">
        <v>3</v>
      </c>
      <c r="J3" s="116" t="s">
        <v>4</v>
      </c>
      <c r="K3" s="114" t="s">
        <v>2</v>
      </c>
      <c r="L3" s="115" t="s">
        <v>3</v>
      </c>
      <c r="M3" s="128" t="s">
        <v>4</v>
      </c>
      <c r="N3" s="114" t="s">
        <v>2</v>
      </c>
      <c r="O3" s="117" t="s">
        <v>3</v>
      </c>
      <c r="P3" s="128" t="s">
        <v>4</v>
      </c>
    </row>
    <row r="4" spans="1:16" ht="14" x14ac:dyDescent="0.25">
      <c r="A4" s="11" t="s">
        <v>7</v>
      </c>
      <c r="B4" s="54">
        <v>98</v>
      </c>
      <c r="C4" s="54"/>
      <c r="D4" s="54"/>
      <c r="E4" s="12">
        <v>0</v>
      </c>
      <c r="F4" s="155">
        <v>2</v>
      </c>
      <c r="G4" s="11"/>
      <c r="H4" s="12"/>
      <c r="I4" s="88">
        <v>26</v>
      </c>
      <c r="J4" s="93"/>
      <c r="K4" s="12"/>
      <c r="L4" s="13">
        <f>I4+F4</f>
        <v>28</v>
      </c>
      <c r="M4" s="84"/>
      <c r="N4" s="12">
        <f>B4</f>
        <v>98</v>
      </c>
      <c r="O4" s="158">
        <v>171</v>
      </c>
      <c r="P4" s="103">
        <f>N4/O4</f>
        <v>0.57309941520467833</v>
      </c>
    </row>
    <row r="5" spans="1:16" ht="14" x14ac:dyDescent="0.25">
      <c r="A5" s="11" t="s">
        <v>11</v>
      </c>
      <c r="B5" s="54">
        <v>75</v>
      </c>
      <c r="C5" s="54"/>
      <c r="D5" s="54"/>
      <c r="E5" s="12">
        <v>0</v>
      </c>
      <c r="F5" s="156">
        <v>6</v>
      </c>
      <c r="G5" s="14"/>
      <c r="H5" s="12"/>
      <c r="I5" s="19">
        <v>6</v>
      </c>
      <c r="J5" s="86"/>
      <c r="K5" s="18"/>
      <c r="L5" s="13">
        <f t="shared" ref="L5:L8" si="0">I5+F5</f>
        <v>12</v>
      </c>
      <c r="M5" s="84"/>
      <c r="N5" s="18">
        <f t="shared" ref="N5:N8" si="1">B5</f>
        <v>75</v>
      </c>
      <c r="O5" s="159">
        <v>105</v>
      </c>
      <c r="P5" s="103">
        <f t="shared" ref="P5:P7" si="2">N5/O5</f>
        <v>0.7142857142857143</v>
      </c>
    </row>
    <row r="6" spans="1:16" ht="14" x14ac:dyDescent="0.25">
      <c r="A6" s="101" t="s">
        <v>5</v>
      </c>
      <c r="B6" s="80">
        <v>20</v>
      </c>
      <c r="C6" s="80"/>
      <c r="D6" s="80"/>
      <c r="E6" s="12">
        <v>0</v>
      </c>
      <c r="F6" s="156">
        <v>1</v>
      </c>
      <c r="G6" s="14"/>
      <c r="H6" s="12"/>
      <c r="I6" s="13">
        <v>1</v>
      </c>
      <c r="J6" s="84"/>
      <c r="K6" s="18"/>
      <c r="L6" s="19">
        <f t="shared" si="0"/>
        <v>2</v>
      </c>
      <c r="M6" s="86"/>
      <c r="N6" s="18">
        <f t="shared" si="1"/>
        <v>20</v>
      </c>
      <c r="O6" s="159">
        <v>21</v>
      </c>
      <c r="P6" s="103">
        <f t="shared" si="2"/>
        <v>0.95238095238095233</v>
      </c>
    </row>
    <row r="7" spans="1:16" ht="14.5" thickBot="1" x14ac:dyDescent="0.3">
      <c r="A7" s="102" t="s">
        <v>8</v>
      </c>
      <c r="B7" s="78">
        <v>45</v>
      </c>
      <c r="C7" s="78"/>
      <c r="D7" s="78"/>
      <c r="E7" s="92">
        <v>0</v>
      </c>
      <c r="F7" s="157">
        <v>0</v>
      </c>
      <c r="G7" s="79"/>
      <c r="H7" s="92"/>
      <c r="I7" s="88">
        <v>10</v>
      </c>
      <c r="J7" s="93"/>
      <c r="K7" s="92"/>
      <c r="L7" s="88">
        <f t="shared" si="0"/>
        <v>10</v>
      </c>
      <c r="M7" s="93"/>
      <c r="N7" s="92">
        <f t="shared" si="1"/>
        <v>45</v>
      </c>
      <c r="O7" s="154">
        <v>108</v>
      </c>
      <c r="P7" s="103">
        <f t="shared" si="2"/>
        <v>0.41666666666666669</v>
      </c>
    </row>
    <row r="8" spans="1:16" s="172" customFormat="1" ht="14.5" thickBot="1" x14ac:dyDescent="0.3">
      <c r="A8" s="31" t="s">
        <v>9</v>
      </c>
      <c r="B8" s="61">
        <f>SUM(B4:B7)</f>
        <v>238</v>
      </c>
      <c r="C8" s="61"/>
      <c r="D8" s="61"/>
      <c r="E8" s="167">
        <v>0</v>
      </c>
      <c r="F8" s="178">
        <f>SUM(F4:F7)</f>
        <v>9</v>
      </c>
      <c r="G8" s="169"/>
      <c r="H8" s="167"/>
      <c r="I8" s="168">
        <f>SUM(I4:I7)</f>
        <v>43</v>
      </c>
      <c r="J8" s="170"/>
      <c r="K8" s="167"/>
      <c r="L8" s="168">
        <f t="shared" si="0"/>
        <v>52</v>
      </c>
      <c r="M8" s="170"/>
      <c r="N8" s="179">
        <f t="shared" si="1"/>
        <v>238</v>
      </c>
      <c r="O8" s="180">
        <f>SUM(O4:O7)</f>
        <v>405</v>
      </c>
      <c r="P8" s="181">
        <f t="shared" ref="P8" si="3">N8/O8</f>
        <v>0.58765432098765435</v>
      </c>
    </row>
    <row r="10" spans="1:16" ht="13" thickBot="1" x14ac:dyDescent="0.3"/>
    <row r="11" spans="1:16" ht="14.5" thickBot="1" x14ac:dyDescent="0.3">
      <c r="A11" s="40" t="s">
        <v>20</v>
      </c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69"/>
    </row>
    <row r="12" spans="1:16" ht="14.5" thickBot="1" x14ac:dyDescent="0.3">
      <c r="A12" s="35" t="s">
        <v>12</v>
      </c>
      <c r="B12" s="104" t="s">
        <v>27</v>
      </c>
      <c r="C12" s="105"/>
      <c r="D12" s="106"/>
      <c r="E12" s="89" t="s">
        <v>0</v>
      </c>
      <c r="F12" s="90"/>
      <c r="G12" s="89" t="s">
        <v>1</v>
      </c>
      <c r="H12" s="90"/>
      <c r="I12" s="107" t="s">
        <v>30</v>
      </c>
      <c r="J12" s="108"/>
      <c r="K12" s="91" t="s">
        <v>10</v>
      </c>
      <c r="L12" s="90"/>
    </row>
    <row r="13" spans="1:16" ht="14.5" thickBot="1" x14ac:dyDescent="0.3">
      <c r="A13" s="36"/>
      <c r="B13" s="139" t="s">
        <v>14</v>
      </c>
      <c r="C13" s="140"/>
      <c r="D13" s="141"/>
      <c r="E13" s="142" t="s">
        <v>14</v>
      </c>
      <c r="F13" s="143" t="s">
        <v>22</v>
      </c>
      <c r="G13" s="142" t="s">
        <v>14</v>
      </c>
      <c r="H13" s="116" t="s">
        <v>22</v>
      </c>
      <c r="I13" s="114" t="s">
        <v>3</v>
      </c>
      <c r="J13" s="128" t="s">
        <v>4</v>
      </c>
      <c r="K13" s="144" t="s">
        <v>14</v>
      </c>
      <c r="L13" s="143" t="s">
        <v>22</v>
      </c>
    </row>
    <row r="14" spans="1:16" ht="14.5" thickBot="1" x14ac:dyDescent="0.3">
      <c r="A14" s="11" t="s">
        <v>7</v>
      </c>
      <c r="B14" s="55" t="s">
        <v>33</v>
      </c>
      <c r="C14" s="56"/>
      <c r="D14" s="57"/>
      <c r="E14" s="187" t="s">
        <v>33</v>
      </c>
      <c r="F14" s="160">
        <v>0.56000000000000005</v>
      </c>
      <c r="G14" s="37"/>
      <c r="H14" s="145">
        <v>0.72</v>
      </c>
      <c r="I14" s="12"/>
      <c r="J14" s="95">
        <f>(F14+H14)/2</f>
        <v>0.64</v>
      </c>
      <c r="K14" s="38" t="str">
        <f>B14</f>
        <v xml:space="preserve">No data </v>
      </c>
      <c r="L14" s="160">
        <v>1</v>
      </c>
    </row>
    <row r="15" spans="1:16" ht="14.5" thickBot="1" x14ac:dyDescent="0.3">
      <c r="A15" s="17" t="s">
        <v>11</v>
      </c>
      <c r="B15" s="55" t="s">
        <v>33</v>
      </c>
      <c r="C15" s="56"/>
      <c r="D15" s="57"/>
      <c r="E15" s="188" t="s">
        <v>33</v>
      </c>
      <c r="F15" s="161">
        <v>0.71</v>
      </c>
      <c r="G15" s="39"/>
      <c r="H15" s="147">
        <v>0.77</v>
      </c>
      <c r="I15" s="12"/>
      <c r="J15" s="95">
        <f t="shared" ref="J15:J18" si="4">(F15+H15)/2</f>
        <v>0.74</v>
      </c>
      <c r="K15" s="38" t="str">
        <f>B15</f>
        <v xml:space="preserve">No data </v>
      </c>
      <c r="L15" s="163">
        <v>1</v>
      </c>
    </row>
    <row r="16" spans="1:16" ht="14.5" thickBot="1" x14ac:dyDescent="0.3">
      <c r="A16" s="23" t="s">
        <v>5</v>
      </c>
      <c r="B16" s="55" t="s">
        <v>33</v>
      </c>
      <c r="C16" s="56"/>
      <c r="D16" s="57"/>
      <c r="E16" s="187" t="s">
        <v>33</v>
      </c>
      <c r="F16" s="161">
        <v>0.86</v>
      </c>
      <c r="G16" s="39"/>
      <c r="H16" s="147">
        <v>0.92</v>
      </c>
      <c r="I16" s="18"/>
      <c r="J16" s="95">
        <f t="shared" si="4"/>
        <v>0.89</v>
      </c>
      <c r="K16" s="38" t="str">
        <f>B16</f>
        <v xml:space="preserve">No data </v>
      </c>
      <c r="L16" s="163">
        <v>1</v>
      </c>
    </row>
    <row r="17" spans="1:15" ht="14.5" thickBot="1" x14ac:dyDescent="0.3">
      <c r="A17" s="25" t="s">
        <v>8</v>
      </c>
      <c r="B17" s="55" t="s">
        <v>33</v>
      </c>
      <c r="C17" s="56"/>
      <c r="D17" s="57"/>
      <c r="E17" s="189" t="s">
        <v>33</v>
      </c>
      <c r="F17" s="162">
        <v>0.42</v>
      </c>
      <c r="G17" s="70"/>
      <c r="H17" s="146">
        <v>0.51</v>
      </c>
      <c r="I17" s="92"/>
      <c r="J17" s="96">
        <f t="shared" si="4"/>
        <v>0.46499999999999997</v>
      </c>
      <c r="K17" s="71" t="str">
        <f>B17</f>
        <v xml:space="preserve">No data </v>
      </c>
      <c r="L17" s="164">
        <v>1</v>
      </c>
    </row>
    <row r="18" spans="1:15" s="172" customFormat="1" ht="14.5" thickBot="1" x14ac:dyDescent="0.3">
      <c r="A18" s="31" t="s">
        <v>9</v>
      </c>
      <c r="B18" s="63" t="s">
        <v>33</v>
      </c>
      <c r="C18" s="64"/>
      <c r="D18" s="65"/>
      <c r="E18" s="72" t="s">
        <v>33</v>
      </c>
      <c r="F18" s="183">
        <v>0.57999999999999996</v>
      </c>
      <c r="G18" s="182"/>
      <c r="H18" s="184">
        <v>0.69</v>
      </c>
      <c r="I18" s="167"/>
      <c r="J18" s="185">
        <f t="shared" si="4"/>
        <v>0.63500000000000001</v>
      </c>
      <c r="K18" s="186" t="str">
        <f>B18</f>
        <v xml:space="preserve">No data </v>
      </c>
      <c r="L18" s="183">
        <v>1</v>
      </c>
    </row>
    <row r="19" spans="1:15" x14ac:dyDescent="0.25">
      <c r="O19" s="94"/>
    </row>
  </sheetData>
  <mergeCells count="26">
    <mergeCell ref="A11:L11"/>
    <mergeCell ref="B14:D14"/>
    <mergeCell ref="B15:D15"/>
    <mergeCell ref="B16:D16"/>
    <mergeCell ref="B17:D17"/>
    <mergeCell ref="B18:D18"/>
    <mergeCell ref="K2:M2"/>
    <mergeCell ref="G12:H12"/>
    <mergeCell ref="E12:F12"/>
    <mergeCell ref="I12:J12"/>
    <mergeCell ref="A12:A13"/>
    <mergeCell ref="B3:D3"/>
    <mergeCell ref="B4:D4"/>
    <mergeCell ref="B5:D5"/>
    <mergeCell ref="B6:D6"/>
    <mergeCell ref="B7:D7"/>
    <mergeCell ref="B8:D8"/>
    <mergeCell ref="B12:D12"/>
    <mergeCell ref="B13:D13"/>
    <mergeCell ref="K12:L12"/>
    <mergeCell ref="A2:A3"/>
    <mergeCell ref="B2:D2"/>
    <mergeCell ref="E2:G2"/>
    <mergeCell ref="H2:J2"/>
    <mergeCell ref="N2:P2"/>
    <mergeCell ref="A1:P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DFCDA-EAC3-4EAB-B211-71CBDD48D992}">
  <dimension ref="A1:N8"/>
  <sheetViews>
    <sheetView workbookViewId="0">
      <selection activeCell="C5" sqref="C5"/>
    </sheetView>
  </sheetViews>
  <sheetFormatPr defaultRowHeight="12.5" x14ac:dyDescent="0.25"/>
  <cols>
    <col min="1" max="1" width="17.08984375" style="1" bestFit="1" customWidth="1"/>
    <col min="2" max="16384" width="8.7265625" style="1"/>
  </cols>
  <sheetData>
    <row r="1" spans="1:14" ht="14.5" thickBot="1" x14ac:dyDescent="0.3">
      <c r="A1" s="40" t="s">
        <v>25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69"/>
    </row>
    <row r="2" spans="1:14" ht="14.5" thickBot="1" x14ac:dyDescent="0.3">
      <c r="A2" s="35" t="s">
        <v>12</v>
      </c>
      <c r="B2" s="118" t="s">
        <v>6</v>
      </c>
      <c r="C2" s="119" t="s">
        <v>0</v>
      </c>
      <c r="D2" s="120"/>
      <c r="E2" s="121"/>
      <c r="F2" s="119" t="s">
        <v>1</v>
      </c>
      <c r="G2" s="120"/>
      <c r="H2" s="121"/>
      <c r="I2" s="73" t="s">
        <v>29</v>
      </c>
      <c r="J2" s="73"/>
      <c r="K2" s="73"/>
      <c r="L2" s="122" t="s">
        <v>10</v>
      </c>
      <c r="M2" s="123"/>
      <c r="N2" s="124"/>
    </row>
    <row r="3" spans="1:14" ht="14.5" thickBot="1" x14ac:dyDescent="0.3">
      <c r="A3" s="36"/>
      <c r="B3" s="113" t="s">
        <v>14</v>
      </c>
      <c r="C3" s="114" t="s">
        <v>2</v>
      </c>
      <c r="D3" s="115" t="s">
        <v>3</v>
      </c>
      <c r="E3" s="116" t="s">
        <v>4</v>
      </c>
      <c r="F3" s="114" t="s">
        <v>2</v>
      </c>
      <c r="G3" s="115" t="s">
        <v>3</v>
      </c>
      <c r="H3" s="116" t="s">
        <v>4</v>
      </c>
      <c r="I3" s="127" t="s">
        <v>14</v>
      </c>
      <c r="J3" s="126" t="s">
        <v>22</v>
      </c>
      <c r="K3" s="128" t="s">
        <v>4</v>
      </c>
      <c r="L3" s="117" t="s">
        <v>2</v>
      </c>
      <c r="M3" s="115" t="s">
        <v>3</v>
      </c>
      <c r="N3" s="116" t="s">
        <v>4</v>
      </c>
    </row>
    <row r="4" spans="1:14" ht="14" x14ac:dyDescent="0.25">
      <c r="A4" s="11" t="s">
        <v>7</v>
      </c>
      <c r="B4" s="11">
        <v>0</v>
      </c>
      <c r="C4" s="12">
        <v>0</v>
      </c>
      <c r="D4" s="152">
        <v>0</v>
      </c>
      <c r="E4" s="14"/>
      <c r="F4" s="12"/>
      <c r="G4" s="13">
        <v>0</v>
      </c>
      <c r="H4" s="14"/>
      <c r="I4" s="12"/>
      <c r="J4" s="13">
        <f>D4+G4</f>
        <v>0</v>
      </c>
      <c r="K4" s="14"/>
      <c r="L4" s="15">
        <f>B4</f>
        <v>0</v>
      </c>
      <c r="M4" s="152">
        <v>59</v>
      </c>
      <c r="N4" s="51">
        <f>L4/M4</f>
        <v>0</v>
      </c>
    </row>
    <row r="5" spans="1:14" ht="14" x14ac:dyDescent="0.25">
      <c r="A5" s="17" t="s">
        <v>11</v>
      </c>
      <c r="B5" s="17">
        <v>24</v>
      </c>
      <c r="C5" s="18">
        <v>0</v>
      </c>
      <c r="D5" s="153">
        <v>11</v>
      </c>
      <c r="E5" s="20"/>
      <c r="F5" s="18"/>
      <c r="G5" s="19">
        <v>11</v>
      </c>
      <c r="H5" s="20"/>
      <c r="I5" s="18"/>
      <c r="J5" s="19">
        <f t="shared" ref="J5:J8" si="0">D5+G5</f>
        <v>22</v>
      </c>
      <c r="K5" s="20"/>
      <c r="L5" s="21">
        <f t="shared" ref="L5:L8" si="1">B5</f>
        <v>24</v>
      </c>
      <c r="M5" s="153">
        <v>52</v>
      </c>
      <c r="N5" s="51">
        <f t="shared" ref="N5:N8" si="2">L5/M5</f>
        <v>0.46153846153846156</v>
      </c>
    </row>
    <row r="6" spans="1:14" ht="14" x14ac:dyDescent="0.25">
      <c r="A6" s="23" t="s">
        <v>5</v>
      </c>
      <c r="B6" s="23">
        <v>7</v>
      </c>
      <c r="C6" s="18">
        <v>0</v>
      </c>
      <c r="D6" s="153">
        <v>0</v>
      </c>
      <c r="E6" s="20"/>
      <c r="F6" s="18"/>
      <c r="G6" s="19">
        <v>0</v>
      </c>
      <c r="H6" s="20"/>
      <c r="I6" s="18"/>
      <c r="J6" s="19">
        <f t="shared" si="0"/>
        <v>0</v>
      </c>
      <c r="K6" s="20"/>
      <c r="L6" s="21">
        <f t="shared" si="1"/>
        <v>7</v>
      </c>
      <c r="M6" s="153">
        <v>7</v>
      </c>
      <c r="N6" s="51">
        <f t="shared" si="2"/>
        <v>1</v>
      </c>
    </row>
    <row r="7" spans="1:14" ht="14.5" thickBot="1" x14ac:dyDescent="0.3">
      <c r="A7" s="25" t="s">
        <v>21</v>
      </c>
      <c r="B7" s="25">
        <v>32</v>
      </c>
      <c r="C7" s="26">
        <v>0</v>
      </c>
      <c r="D7" s="154">
        <v>5</v>
      </c>
      <c r="E7" s="28"/>
      <c r="F7" s="26"/>
      <c r="G7" s="27">
        <v>4</v>
      </c>
      <c r="H7" s="28"/>
      <c r="I7" s="26"/>
      <c r="J7" s="27">
        <f t="shared" si="0"/>
        <v>9</v>
      </c>
      <c r="K7" s="28"/>
      <c r="L7" s="29">
        <f t="shared" si="1"/>
        <v>32</v>
      </c>
      <c r="M7" s="154">
        <v>37</v>
      </c>
      <c r="N7" s="52">
        <f t="shared" si="2"/>
        <v>0.86486486486486491</v>
      </c>
    </row>
    <row r="8" spans="1:14" s="172" customFormat="1" ht="14.5" thickBot="1" x14ac:dyDescent="0.3">
      <c r="A8" s="31" t="s">
        <v>9</v>
      </c>
      <c r="B8" s="31">
        <f>SUM(B4:B7)</f>
        <v>63</v>
      </c>
      <c r="C8" s="167">
        <v>0</v>
      </c>
      <c r="D8" s="166">
        <f>SUM(D4:D7)</f>
        <v>16</v>
      </c>
      <c r="E8" s="169"/>
      <c r="F8" s="167"/>
      <c r="G8" s="168">
        <f>SUM(G4:G7)</f>
        <v>15</v>
      </c>
      <c r="H8" s="169"/>
      <c r="I8" s="167"/>
      <c r="J8" s="168">
        <f t="shared" si="0"/>
        <v>31</v>
      </c>
      <c r="K8" s="169"/>
      <c r="L8" s="171">
        <f t="shared" si="1"/>
        <v>63</v>
      </c>
      <c r="M8" s="166">
        <f>SUM(M4:M7)</f>
        <v>155</v>
      </c>
      <c r="N8" s="177">
        <f t="shared" si="2"/>
        <v>0.40645161290322579</v>
      </c>
    </row>
  </sheetData>
  <mergeCells count="6">
    <mergeCell ref="A2:A3"/>
    <mergeCell ref="C2:E2"/>
    <mergeCell ref="F2:H2"/>
    <mergeCell ref="L2:N2"/>
    <mergeCell ref="A1:N1"/>
    <mergeCell ref="I2:K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D521C-D3E5-4778-8433-BDC8F93EC7A8}">
  <dimension ref="A1:D4"/>
  <sheetViews>
    <sheetView workbookViewId="0">
      <selection activeCell="G4" sqref="G4"/>
    </sheetView>
  </sheetViews>
  <sheetFormatPr defaultRowHeight="12.5" x14ac:dyDescent="0.25"/>
  <cols>
    <col min="1" max="4" width="14.90625" style="1" customWidth="1"/>
  </cols>
  <sheetData>
    <row r="1" spans="1:4" ht="14.5" thickBot="1" x14ac:dyDescent="0.3">
      <c r="A1" s="40" t="s">
        <v>23</v>
      </c>
      <c r="B1" s="41"/>
      <c r="C1" s="41"/>
      <c r="D1" s="69"/>
    </row>
    <row r="2" spans="1:4" ht="14.5" thickBot="1" x14ac:dyDescent="0.3">
      <c r="A2" s="2" t="s">
        <v>12</v>
      </c>
      <c r="B2" s="119" t="s">
        <v>10</v>
      </c>
      <c r="C2" s="120"/>
      <c r="D2" s="121"/>
    </row>
    <row r="3" spans="1:4" ht="14.5" thickBot="1" x14ac:dyDescent="0.3">
      <c r="A3" s="9"/>
      <c r="B3" s="114" t="s">
        <v>2</v>
      </c>
      <c r="C3" s="115" t="s">
        <v>3</v>
      </c>
      <c r="D3" s="116" t="s">
        <v>4</v>
      </c>
    </row>
    <row r="4" spans="1:4" ht="14.5" thickBot="1" x14ac:dyDescent="0.3">
      <c r="A4" s="62" t="s">
        <v>7</v>
      </c>
      <c r="B4" s="81">
        <v>291</v>
      </c>
      <c r="C4" s="85">
        <v>1869</v>
      </c>
      <c r="D4" s="125">
        <f>B4/C4</f>
        <v>0.15569823434991975</v>
      </c>
    </row>
  </sheetData>
  <mergeCells count="3">
    <mergeCell ref="A1:D1"/>
    <mergeCell ref="A2:A3"/>
    <mergeCell ref="B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E50EE-C3CC-404B-9A04-7C825200EC49}">
  <dimension ref="G1:J8"/>
  <sheetViews>
    <sheetView topLeftCell="G1" workbookViewId="0">
      <selection activeCell="I29" sqref="I29"/>
    </sheetView>
  </sheetViews>
  <sheetFormatPr defaultRowHeight="12.5" x14ac:dyDescent="0.25"/>
  <cols>
    <col min="7" max="7" width="17.08984375" bestFit="1" customWidth="1"/>
  </cols>
  <sheetData>
    <row r="1" spans="7:10" ht="14.5" thickBot="1" x14ac:dyDescent="0.3">
      <c r="G1" s="40" t="s">
        <v>24</v>
      </c>
      <c r="H1" s="41"/>
      <c r="I1" s="41"/>
      <c r="J1" s="69"/>
    </row>
    <row r="2" spans="7:10" ht="14.5" thickBot="1" x14ac:dyDescent="0.3">
      <c r="G2" s="2" t="s">
        <v>12</v>
      </c>
      <c r="H2" s="119" t="s">
        <v>10</v>
      </c>
      <c r="I2" s="120"/>
      <c r="J2" s="121"/>
    </row>
    <row r="3" spans="7:10" ht="14.5" thickBot="1" x14ac:dyDescent="0.3">
      <c r="G3" s="9"/>
      <c r="H3" s="114" t="s">
        <v>2</v>
      </c>
      <c r="I3" s="115" t="s">
        <v>3</v>
      </c>
      <c r="J3" s="116" t="s">
        <v>4</v>
      </c>
    </row>
    <row r="4" spans="7:10" ht="14" x14ac:dyDescent="0.25">
      <c r="G4" s="10" t="s">
        <v>7</v>
      </c>
      <c r="H4" s="12" t="s">
        <v>33</v>
      </c>
      <c r="I4" s="12" t="s">
        <v>33</v>
      </c>
      <c r="J4" s="12" t="s">
        <v>33</v>
      </c>
    </row>
    <row r="5" spans="7:10" ht="14" x14ac:dyDescent="0.25">
      <c r="G5" s="16" t="s">
        <v>11</v>
      </c>
      <c r="H5" s="12" t="s">
        <v>33</v>
      </c>
      <c r="I5" s="12" t="s">
        <v>33</v>
      </c>
      <c r="J5" s="12" t="s">
        <v>33</v>
      </c>
    </row>
    <row r="6" spans="7:10" ht="14" x14ac:dyDescent="0.25">
      <c r="G6" s="22" t="s">
        <v>5</v>
      </c>
      <c r="H6" s="12" t="s">
        <v>33</v>
      </c>
      <c r="I6" s="12" t="s">
        <v>33</v>
      </c>
      <c r="J6" s="12" t="s">
        <v>33</v>
      </c>
    </row>
    <row r="7" spans="7:10" ht="14.5" thickBot="1" x14ac:dyDescent="0.3">
      <c r="G7" s="24" t="s">
        <v>8</v>
      </c>
      <c r="H7" s="12" t="s">
        <v>33</v>
      </c>
      <c r="I7" s="12" t="s">
        <v>33</v>
      </c>
      <c r="J7" s="12" t="s">
        <v>33</v>
      </c>
    </row>
    <row r="8" spans="7:10" ht="14.5" thickBot="1" x14ac:dyDescent="0.3">
      <c r="G8" s="30" t="s">
        <v>9</v>
      </c>
      <c r="H8" s="12" t="s">
        <v>33</v>
      </c>
      <c r="I8" s="12" t="s">
        <v>33</v>
      </c>
      <c r="J8" s="12" t="s">
        <v>33</v>
      </c>
    </row>
  </sheetData>
  <mergeCells count="3">
    <mergeCell ref="G1:J1"/>
    <mergeCell ref="G2:G3"/>
    <mergeCell ref="H2:J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Parivartan- Trucks  </vt:lpstr>
      <vt:lpstr>Parivartan - Buses</vt:lpstr>
      <vt:lpstr>APCD</vt:lpstr>
      <vt:lpstr>OCEMS</vt:lpstr>
      <vt:lpstr>Road Remediation </vt:lpstr>
      <vt:lpstr>MRS</vt:lpstr>
      <vt:lpstr>SCC</vt:lpstr>
      <vt:lpstr>ICCC</vt:lpstr>
      <vt:lpstr>Greening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A-PAG</dc:creator>
  <cp:lastModifiedBy>A-PAG</cp:lastModifiedBy>
  <dcterms:created xsi:type="dcterms:W3CDTF">2026-08-31T13:20:28Z</dcterms:created>
  <dcterms:modified xsi:type="dcterms:W3CDTF">2026-08-31T13:20:28Z</dcterms:modified>
</cp:coreProperties>
</file>